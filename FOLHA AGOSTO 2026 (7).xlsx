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5 Folha\Folha 08 Agosto\Salário\"/>
    </mc:Choice>
  </mc:AlternateContent>
  <xr:revisionPtr revIDLastSave="0" documentId="13_ncr:1_{6B98CF12-9F48-45A5-806B-DD1AF9F76EC7}" xr6:coauthVersionLast="47" xr6:coauthVersionMax="47" xr10:uidLastSave="{00000000-0000-0000-0000-000000000000}"/>
  <bookViews>
    <workbookView xWindow="12015" yWindow="405" windowWidth="11985" windowHeight="12375" activeTab="1" xr2:uid="{4F9C1278-9E0C-4712-961B-FEE2B1B82678}"/>
  </bookViews>
  <sheets>
    <sheet name="Clinica" sheetId="1" r:id="rId1"/>
    <sheet name="FS" sheetId="2" r:id="rId2"/>
    <sheet name="Laboratório" sheetId="3" r:id="rId3"/>
    <sheet name="Fidelidad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H35" i="1"/>
  <c r="H14" i="1"/>
  <c r="H19" i="1" s="1"/>
  <c r="G35" i="1"/>
  <c r="F35" i="1"/>
  <c r="E35" i="1"/>
  <c r="D35" i="1"/>
  <c r="C35" i="1"/>
  <c r="C10" i="4" l="1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44" i="2"/>
  <c r="C45" i="2"/>
  <c r="C46" i="2"/>
  <c r="C47" i="2"/>
  <c r="C78" i="2" s="1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44" i="2"/>
  <c r="H25" i="1"/>
  <c r="H28" i="1"/>
  <c r="H30" i="1"/>
  <c r="H31" i="1"/>
  <c r="H32" i="1"/>
  <c r="H33" i="1"/>
  <c r="H34" i="1"/>
  <c r="H36" i="1"/>
  <c r="H37" i="1"/>
  <c r="H38" i="1"/>
  <c r="H39" i="1"/>
  <c r="H24" i="1"/>
  <c r="F25" i="1"/>
  <c r="F26" i="1"/>
  <c r="F27" i="1"/>
  <c r="F28" i="1"/>
  <c r="F29" i="1"/>
  <c r="F30" i="1"/>
  <c r="F31" i="1"/>
  <c r="F32" i="1"/>
  <c r="F33" i="1"/>
  <c r="F34" i="1"/>
  <c r="F36" i="1"/>
  <c r="F37" i="1"/>
  <c r="F38" i="1"/>
  <c r="F39" i="1"/>
  <c r="F24" i="1"/>
  <c r="E25" i="1"/>
  <c r="E26" i="1"/>
  <c r="E27" i="1"/>
  <c r="E28" i="1"/>
  <c r="E29" i="1"/>
  <c r="E30" i="1"/>
  <c r="E31" i="1"/>
  <c r="E32" i="1"/>
  <c r="E33" i="1"/>
  <c r="E34" i="1"/>
  <c r="E36" i="1"/>
  <c r="E37" i="1"/>
  <c r="E38" i="1"/>
  <c r="E39" i="1"/>
  <c r="E24" i="1"/>
  <c r="D25" i="1"/>
  <c r="D26" i="1"/>
  <c r="D27" i="1"/>
  <c r="D28" i="1"/>
  <c r="D29" i="1"/>
  <c r="D30" i="1"/>
  <c r="D31" i="1"/>
  <c r="D32" i="1"/>
  <c r="D33" i="1"/>
  <c r="D34" i="1"/>
  <c r="D36" i="1"/>
  <c r="D37" i="1"/>
  <c r="D38" i="1"/>
  <c r="D39" i="1"/>
  <c r="D24" i="1"/>
  <c r="C25" i="1"/>
  <c r="G25" i="1" s="1"/>
  <c r="C26" i="1"/>
  <c r="G26" i="1" s="1"/>
  <c r="C27" i="1"/>
  <c r="C28" i="1"/>
  <c r="G28" i="1" s="1"/>
  <c r="C29" i="1"/>
  <c r="G29" i="1" s="1"/>
  <c r="C30" i="1"/>
  <c r="G30" i="1" s="1"/>
  <c r="C31" i="1"/>
  <c r="G31" i="1" s="1"/>
  <c r="C32" i="1"/>
  <c r="G32" i="1" s="1"/>
  <c r="C33" i="1"/>
  <c r="G33" i="1" s="1"/>
  <c r="C34" i="1"/>
  <c r="G34" i="1" s="1"/>
  <c r="C36" i="1"/>
  <c r="G36" i="1" s="1"/>
  <c r="C37" i="1"/>
  <c r="G37" i="1" s="1"/>
  <c r="C38" i="1"/>
  <c r="G38" i="1" s="1"/>
  <c r="C39" i="1"/>
  <c r="G39" i="1" s="1"/>
  <c r="C24" i="1"/>
  <c r="G24" i="1" s="1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26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G27" i="1" l="1"/>
  <c r="G40" i="1"/>
  <c r="H12" i="1"/>
  <c r="H11" i="1"/>
  <c r="M11" i="1" s="1"/>
  <c r="H4" i="1"/>
  <c r="M4" i="1" s="1"/>
  <c r="H5" i="1"/>
  <c r="M5" i="1" s="1"/>
  <c r="H6" i="1"/>
  <c r="M6" i="1" s="1"/>
  <c r="H7" i="1"/>
  <c r="M7" i="1" s="1"/>
  <c r="H8" i="1"/>
  <c r="M8" i="1" s="1"/>
  <c r="H9" i="1"/>
  <c r="M9" i="1" s="1"/>
  <c r="H10" i="1"/>
  <c r="M10" i="1" s="1"/>
  <c r="H13" i="1"/>
  <c r="M13" i="1" s="1"/>
  <c r="H15" i="1"/>
  <c r="M15" i="1" s="1"/>
  <c r="H16" i="1"/>
  <c r="M16" i="1" s="1"/>
  <c r="H17" i="1"/>
  <c r="M17" i="1" s="1"/>
  <c r="H18" i="1"/>
  <c r="M18" i="1" s="1"/>
  <c r="H3" i="1"/>
  <c r="M3" i="1" s="1"/>
  <c r="K19" i="1"/>
  <c r="J37" i="2"/>
  <c r="D37" i="2"/>
  <c r="C37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H3" i="2"/>
  <c r="L3" i="2" s="1"/>
  <c r="H13" i="3"/>
  <c r="M13" i="3" s="1"/>
  <c r="M12" i="1" l="1"/>
  <c r="M19" i="1" s="1"/>
  <c r="H37" i="2"/>
  <c r="D9" i="4" l="1"/>
  <c r="C9" i="4"/>
  <c r="H4" i="3"/>
  <c r="M4" i="3" s="1"/>
  <c r="J4" i="4" l="1"/>
  <c r="J3" i="4" l="1"/>
  <c r="H5" i="4"/>
  <c r="F10" i="4"/>
  <c r="F9" i="4"/>
  <c r="E18" i="3"/>
  <c r="F18" i="3"/>
  <c r="G18" i="3"/>
  <c r="I18" i="3"/>
  <c r="K18" i="3"/>
  <c r="L18" i="3"/>
  <c r="D18" i="3"/>
  <c r="L19" i="1"/>
  <c r="E19" i="1"/>
  <c r="F19" i="1"/>
  <c r="G19" i="1"/>
  <c r="D19" i="1"/>
  <c r="H3" i="3"/>
  <c r="M3" i="3" s="1"/>
  <c r="H14" i="3"/>
  <c r="M14" i="3" s="1"/>
  <c r="F11" i="4" l="1"/>
  <c r="D41" i="3"/>
  <c r="G41" i="3"/>
  <c r="E41" i="3"/>
  <c r="F41" i="3"/>
  <c r="C41" i="3"/>
  <c r="C40" i="1"/>
  <c r="F40" i="1"/>
  <c r="H17" i="3"/>
  <c r="M17" i="3" s="1"/>
  <c r="H41" i="3" l="1"/>
  <c r="H9" i="3"/>
  <c r="M9" i="3" s="1"/>
  <c r="E10" i="4"/>
  <c r="D10" i="4"/>
  <c r="E9" i="4"/>
  <c r="G9" i="4" s="1"/>
  <c r="I5" i="4"/>
  <c r="G5" i="4"/>
  <c r="F5" i="4"/>
  <c r="E5" i="4"/>
  <c r="D5" i="4"/>
  <c r="J5" i="4"/>
  <c r="H16" i="3"/>
  <c r="M16" i="3" s="1"/>
  <c r="H15" i="3"/>
  <c r="M15" i="3" s="1"/>
  <c r="H12" i="3"/>
  <c r="M12" i="3" s="1"/>
  <c r="H11" i="3"/>
  <c r="M11" i="3" s="1"/>
  <c r="H10" i="3"/>
  <c r="M10" i="3" s="1"/>
  <c r="H8" i="3"/>
  <c r="M8" i="3" s="1"/>
  <c r="H7" i="3"/>
  <c r="M7" i="3" s="1"/>
  <c r="H6" i="3"/>
  <c r="M6" i="3" s="1"/>
  <c r="H5" i="3"/>
  <c r="M5" i="3" s="1"/>
  <c r="K37" i="2"/>
  <c r="G37" i="2"/>
  <c r="F37" i="2"/>
  <c r="E37" i="2"/>
  <c r="L37" i="2"/>
  <c r="M18" i="3" l="1"/>
  <c r="G10" i="4"/>
  <c r="G11" i="4" s="1"/>
  <c r="H18" i="3"/>
  <c r="F78" i="2"/>
  <c r="D11" i="4"/>
  <c r="D78" i="2"/>
  <c r="E11" i="4"/>
  <c r="E78" i="2"/>
  <c r="D40" i="1"/>
  <c r="C11" i="4"/>
  <c r="E40" i="1"/>
  <c r="G78" i="2" l="1"/>
</calcChain>
</file>

<file path=xl/sharedStrings.xml><?xml version="1.0" encoding="utf-8"?>
<sst xmlns="http://schemas.openxmlformats.org/spreadsheetml/2006/main" count="331" uniqueCount="209">
  <si>
    <t>Funcionários</t>
  </si>
  <si>
    <t>Salário Bruto</t>
  </si>
  <si>
    <t>Salário Líquido</t>
  </si>
  <si>
    <t>Diferença Salarial</t>
  </si>
  <si>
    <t>Grat. Subs</t>
  </si>
  <si>
    <t>Desconto</t>
  </si>
  <si>
    <t>Valor Total</t>
  </si>
  <si>
    <t>Chave PIX</t>
  </si>
  <si>
    <t>VA</t>
  </si>
  <si>
    <t>TOTAL</t>
  </si>
  <si>
    <t>Celia Lopes Brites Prado(21/01)</t>
  </si>
  <si>
    <t>PIX - 002.219.501-76</t>
  </si>
  <si>
    <t>Jean Lucas Freitas Ferreira</t>
  </si>
  <si>
    <t>Jonathan Correa de Britz</t>
  </si>
  <si>
    <t>PIX - 67991232768</t>
  </si>
  <si>
    <t>Natalia Lima Dantas</t>
  </si>
  <si>
    <t>PIX - 055.126.271-04</t>
  </si>
  <si>
    <t>Sergio Gabriel Ruiz Benitez</t>
  </si>
  <si>
    <t>PIX - 67982014318</t>
  </si>
  <si>
    <t>PAGAMENTO</t>
  </si>
  <si>
    <t>Funcionário</t>
  </si>
  <si>
    <t>Salário</t>
  </si>
  <si>
    <t>Vale gás (diferença salarial)</t>
  </si>
  <si>
    <t>Total</t>
  </si>
  <si>
    <t xml:space="preserve">Chave Pix </t>
  </si>
  <si>
    <t>Premiação</t>
  </si>
  <si>
    <t>Comissão</t>
  </si>
  <si>
    <t xml:space="preserve">Ana Carolina Ortiz Villagra </t>
  </si>
  <si>
    <t>PIX - 6799251-4705</t>
  </si>
  <si>
    <t>Andressa Silva dos Santos (AC 500,00)</t>
  </si>
  <si>
    <t>PIX - 67992262297</t>
  </si>
  <si>
    <t xml:space="preserve">Clarice Batista Rodrigues </t>
  </si>
  <si>
    <t xml:space="preserve">Eliza dos Martyces Barbosa </t>
  </si>
  <si>
    <t>PIX -  67993183631</t>
  </si>
  <si>
    <t>Ester Barbosa Muller (R$ 3.000,00 + 500,00 AJ)</t>
  </si>
  <si>
    <t>PIX - 087.993.891-93</t>
  </si>
  <si>
    <t>Francine de Souza Aquino</t>
  </si>
  <si>
    <t>PIX - 080.763.811-00</t>
  </si>
  <si>
    <t>Gabriel Gomes da Silva</t>
  </si>
  <si>
    <t xml:space="preserve">PIX - gg085934@gmail.com </t>
  </si>
  <si>
    <t>PIX - 543.922.761-04</t>
  </si>
  <si>
    <t>Gustavo Rodrigues Acosta AC 200,00)</t>
  </si>
  <si>
    <t>PIX - 67991068258</t>
  </si>
  <si>
    <t xml:space="preserve">Joao Victor dos Anjos Vasques Garcia (R$2026,00 + 4vt  12/12) </t>
  </si>
  <si>
    <t>PIX - 067.213.021-10</t>
  </si>
  <si>
    <t>PIX - 02922806103</t>
  </si>
  <si>
    <t>PIX - 67993406316</t>
  </si>
  <si>
    <t>PIX - 67993258394</t>
  </si>
  <si>
    <t>PIX-03864848130</t>
  </si>
  <si>
    <t>Neide de Jesus Martins(inss)</t>
  </si>
  <si>
    <t>PIX:6799832-1619</t>
  </si>
  <si>
    <t>Pamela Olazar Souza Chamorro</t>
  </si>
  <si>
    <t>PIX-032133131-14</t>
  </si>
  <si>
    <t xml:space="preserve">PIX - 67996449329 </t>
  </si>
  <si>
    <t>PIX -  6798194-7972</t>
  </si>
  <si>
    <t xml:space="preserve">Wislla Brito da Costa </t>
  </si>
  <si>
    <t>PIX - 054.251.702-70</t>
  </si>
  <si>
    <t xml:space="preserve">Funcioanários </t>
  </si>
  <si>
    <t xml:space="preserve">Salario </t>
  </si>
  <si>
    <t xml:space="preserve">Comissão </t>
  </si>
  <si>
    <t>Pix</t>
  </si>
  <si>
    <t xml:space="preserve">Kellson Nunes Rocha (R$ 6.517,86) </t>
  </si>
  <si>
    <t xml:space="preserve">Graciela Rodrigues Ferreira Morais </t>
  </si>
  <si>
    <t xml:space="preserve">Paulo Cesar Rodrigues </t>
  </si>
  <si>
    <t>Luis Felype de Sousa Galan(contrato congelado - exército)</t>
  </si>
  <si>
    <t>Sálario Bruto</t>
  </si>
  <si>
    <t xml:space="preserve">Salário </t>
  </si>
  <si>
    <t>Extras</t>
  </si>
  <si>
    <t>Plantões</t>
  </si>
  <si>
    <t>Vale</t>
  </si>
  <si>
    <t>PIX</t>
  </si>
  <si>
    <t>Vt/AC/VA</t>
  </si>
  <si>
    <t>Hellen Cris Ocampos de Moura (inicio 05/02)</t>
  </si>
  <si>
    <t>PIX - 059.061.451-76</t>
  </si>
  <si>
    <t>Inacia Troche Ojeda</t>
  </si>
  <si>
    <t>PIX - 67991762840</t>
  </si>
  <si>
    <t>Isabel (R$ 100,00 por diaria - domingos)</t>
  </si>
  <si>
    <t>PIX - 67992272977</t>
  </si>
  <si>
    <t>Isadora de Souza Cunha</t>
  </si>
  <si>
    <t>PIX -07256814119</t>
  </si>
  <si>
    <t>Katiuse Goncalves de Moura</t>
  </si>
  <si>
    <t>PIX - 03748945159</t>
  </si>
  <si>
    <t>Kellson Nunes</t>
  </si>
  <si>
    <t>Luciano Akira Kamada</t>
  </si>
  <si>
    <t>PIX - 058.852.711-43</t>
  </si>
  <si>
    <t>Richard Novaes da silva</t>
  </si>
  <si>
    <t>PIX - 071.589.511-70</t>
  </si>
  <si>
    <t>Tatiane Rocha Francelino 12/01</t>
  </si>
  <si>
    <t>Pix -8d2b1a5a-6a06-490f-99c4-fbfec4316756</t>
  </si>
  <si>
    <t>Extra</t>
  </si>
  <si>
    <t>Plantão</t>
  </si>
  <si>
    <t>Chave pix</t>
  </si>
  <si>
    <t>Claudio Henrique de J.Carneiro (AC 300,00)</t>
  </si>
  <si>
    <t>PIX - 6799216-7472</t>
  </si>
  <si>
    <t>Juvenal Brito Ferreira (AC 400,00)</t>
  </si>
  <si>
    <t>PIX - 6799806-1883</t>
  </si>
  <si>
    <t xml:space="preserve">Funcionários </t>
  </si>
  <si>
    <t xml:space="preserve">Valor Total </t>
  </si>
  <si>
    <t xml:space="preserve">PIX </t>
  </si>
  <si>
    <t>6799216-7472</t>
  </si>
  <si>
    <t>6799806-1883</t>
  </si>
  <si>
    <t>FOLHA DE PAGAMENTO - FIDELIDADE SAÚDE MÊS DE MARÇO DE 2026</t>
  </si>
  <si>
    <t>LABORATORIO EL KADRI - FOLHA PAGAMENTO DE MARÇO DE 2026</t>
  </si>
  <si>
    <t>FOLHA DE PAGAMENTO - FS ADM. DE CARTÕES MÊS DE MARÇO 2026</t>
  </si>
  <si>
    <t>FOLHA DE PAGAMENTO - CLÍNICA FIDELIDADE SAÚDE MÊS DE MARÇO 2026</t>
  </si>
  <si>
    <t>PIX - 07213200151</t>
  </si>
  <si>
    <t>Vitoria Halmenschlager Nogueira</t>
  </si>
  <si>
    <t xml:space="preserve">Nathalia de Souza Nascimento </t>
  </si>
  <si>
    <t>Antonio Geraldo de Oliveira</t>
  </si>
  <si>
    <t>PIX - 407.607.231-68</t>
  </si>
  <si>
    <t>PIX - 67981417246</t>
  </si>
  <si>
    <t>Joao Rafael Vieira Antal</t>
  </si>
  <si>
    <t>Yana Iasmin Cardoso Porto</t>
  </si>
  <si>
    <t>Carmem Gonçalves Boaventura</t>
  </si>
  <si>
    <t xml:space="preserve">Linda Barbosa da Silva </t>
  </si>
  <si>
    <t>Cassia Andreia de Castro</t>
  </si>
  <si>
    <t>Ana Lúcia Pereira da Silva</t>
  </si>
  <si>
    <t>Renata Soares Mendonça (14/04/2026)</t>
  </si>
  <si>
    <t>Adiantamento</t>
  </si>
  <si>
    <t>vale</t>
  </si>
  <si>
    <t>Nascimento</t>
  </si>
  <si>
    <t>Edineia Maria dos Santos (Casa Cassiane)</t>
  </si>
  <si>
    <t>Durcelina Mascarenhas (Casa Cassiane)</t>
  </si>
  <si>
    <t>PIX - yanaporto67@gmail.com</t>
  </si>
  <si>
    <t>PIX - jeniffereduardaoliveira29@gmail.com</t>
  </si>
  <si>
    <t>Murilo Fernandes L. Nantes (dentista contrato)</t>
  </si>
  <si>
    <t>PIX - 90252128168</t>
  </si>
  <si>
    <t xml:space="preserve">Ivonete Donat (inicio 15/04/2026) </t>
  </si>
  <si>
    <t>V.A.</t>
  </si>
  <si>
    <t xml:space="preserve">Karen Zandomenighi Rumeu </t>
  </si>
  <si>
    <t>PIX  - 067991858995</t>
  </si>
  <si>
    <t>Jeniffer Eduarda Oliveira 08/04</t>
  </si>
  <si>
    <t>Raissa da Silva Gondin 08/04</t>
  </si>
  <si>
    <t>PIX 67 999435011</t>
  </si>
  <si>
    <t>PIX - 03714283196</t>
  </si>
  <si>
    <t>PIX - 67984520468</t>
  </si>
  <si>
    <t xml:space="preserve">Cartão </t>
  </si>
  <si>
    <t>cartão</t>
  </si>
  <si>
    <t xml:space="preserve">cartão </t>
  </si>
  <si>
    <t>Aux. Combustível</t>
  </si>
  <si>
    <t xml:space="preserve">Aux. Combustivel </t>
  </si>
  <si>
    <t>PIX - 67981165464</t>
  </si>
  <si>
    <t>Carmen Gonçalves Boaventura</t>
  </si>
  <si>
    <t>Combustível</t>
  </si>
  <si>
    <t xml:space="preserve">PIX - 67993452933 </t>
  </si>
  <si>
    <t>Fátima Maria Bonfada</t>
  </si>
  <si>
    <t>Anny Gabryelly Aguilera (12/05)</t>
  </si>
  <si>
    <t>Marcia Brey (14/05)</t>
  </si>
  <si>
    <t>Gleiciele de Oliveira Almeida (11/05)</t>
  </si>
  <si>
    <t xml:space="preserve">Plantões </t>
  </si>
  <si>
    <t>Luciano Akira Kamada 30/05 folga Hellen</t>
  </si>
  <si>
    <t>Tatiane Rocha Francelino 01/05 folga João</t>
  </si>
  <si>
    <t>Mikaélly Aourunã de Oliveria 22/05/2026</t>
  </si>
  <si>
    <t>PIX - 59237805187</t>
  </si>
  <si>
    <t>PIX - 67999673761</t>
  </si>
  <si>
    <t>PIX - 04707707246</t>
  </si>
  <si>
    <t>PIX - 08355057155</t>
  </si>
  <si>
    <t>Isadora Gonçalves dos Santos ( inicio 04/05)</t>
  </si>
  <si>
    <t>PIX - 060.350.721-27</t>
  </si>
  <si>
    <t xml:space="preserve">Leticia Rodrigues Moura (férias 2505 a 23/06)  </t>
  </si>
  <si>
    <t>Ana Beatriz de Oliveira Souza (28/05/2026)</t>
  </si>
  <si>
    <t xml:space="preserve">PIX - 09091151170 </t>
  </si>
  <si>
    <t>PIX - 01163365106</t>
  </si>
  <si>
    <t>PIX - 51190613204</t>
  </si>
  <si>
    <t>Maria Fernanda Rodrigues  (01/07/2026)</t>
  </si>
  <si>
    <t>Karoline Vitoria de Lima Silva 01/06/2026</t>
  </si>
  <si>
    <t>PIX - 06019171116</t>
  </si>
  <si>
    <t>Yalissa Ainy Oliveira de Almeida 08/06/26</t>
  </si>
  <si>
    <t>PIX - 11153183145</t>
  </si>
  <si>
    <t>Luciano extra dia 13/06</t>
  </si>
  <si>
    <t>João extra dia 14/06</t>
  </si>
  <si>
    <t>Isabel 06,14,20,28/06/2026 folguista</t>
  </si>
  <si>
    <t>katiuse teve aumento salárial no mês 06 (R$ 4.000,00)</t>
  </si>
  <si>
    <t>Maria Isabel Pifer</t>
  </si>
  <si>
    <t>Obs:</t>
  </si>
  <si>
    <t>Obs</t>
  </si>
  <si>
    <t>Kamilly Rafaely Ribeiro da Costa</t>
  </si>
  <si>
    <t>Tainara Figueiredo da Costa</t>
  </si>
  <si>
    <t xml:space="preserve">João Eduardo Martins da Silva </t>
  </si>
  <si>
    <t>Lucivan Vicente de Souza</t>
  </si>
  <si>
    <t>f9ff138a-5125-4df1-b82f-3bb719168381</t>
  </si>
  <si>
    <t>PIX - 67992629536</t>
  </si>
  <si>
    <t>Talyta Emyli Lopes Esteves</t>
  </si>
  <si>
    <t>PIX - 048.509.921-70</t>
  </si>
  <si>
    <t>PIX - lucivan1souza82@gmail.com</t>
  </si>
  <si>
    <t>PIX - karolinevitoriadelimasilva@gmail.com</t>
  </si>
  <si>
    <t>Karoline, mudou o PIX karolinevitoriadelimasilva@gmail.com</t>
  </si>
  <si>
    <t>PIX-47 98925 9070</t>
  </si>
  <si>
    <t xml:space="preserve">Carmem teve aumento salárial 07/2026 e mudança de função </t>
  </si>
  <si>
    <t>Kamilly Rafaely inicio 23/07</t>
  </si>
  <si>
    <t>Tainara Figueiredo inicio 20/07</t>
  </si>
  <si>
    <t>Isadora Gonçalves falta dia 11/07 (Estagiária)</t>
  </si>
  <si>
    <t>João Eduardo Martins da Silva inio 27/07</t>
  </si>
  <si>
    <t>Talyta Emyli inicio 06/07</t>
  </si>
  <si>
    <t>V.T dos dias 07/08 a 04/09 25 dias 50 vt R$ 247,50</t>
  </si>
  <si>
    <t>V.A dis dias 07/08 a 04/09 21 dias 42 V.A R$ 207,90</t>
  </si>
  <si>
    <t>Dispensada 30/07</t>
  </si>
  <si>
    <t>Dispensada 03/08</t>
  </si>
  <si>
    <t>Lucivan inicio 07/07 sabado tem V.A pq faz 12 horas</t>
  </si>
  <si>
    <t>Raissa da Silva férias 17/8 a 15/09 VTeVA de 07/08 a 15/08</t>
  </si>
  <si>
    <t xml:space="preserve">Vivian Cristina da Silva Gattis </t>
  </si>
  <si>
    <t>PIX - vivian_cristina_silva@outlook.com</t>
  </si>
  <si>
    <t xml:space="preserve">Vivian Cristina da Silva Gattis inicio 01/08 a 08/09 pgto de vt e va </t>
  </si>
  <si>
    <t>V.T dos dias 07/08 a 08/09 26 dias 52 vt R$ 257,40</t>
  </si>
  <si>
    <t>V.A dis dias 07/08 a 08/09 21 dias 42 V.A R$ 207,90</t>
  </si>
  <si>
    <t>Lucas Barbosa Perez</t>
  </si>
  <si>
    <t>PIX - 083.615.361-83</t>
  </si>
  <si>
    <t>V.T dos dias 07/08 a 08/09 26 dias 52 vt R$ 247,50</t>
  </si>
  <si>
    <t>PIX - claricebatista003@gmail.com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</si>
</sst>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9">
    <xf numFmtId="0" fontId="0" fillId="0" borderId="0" xfId="0"/>
    <xf numFmtId="0" fontId="5" fillId="3" borderId="2" xfId="0" applyFont="1" applyFill="1" applyBorder="1" applyAlignment="1">
      <alignment horizontal="center" vertical="center"/>
    </xf>
    <xf numFmtId="44" fontId="5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6" fillId="3" borderId="3" xfId="1" applyNumberFormat="1" applyFont="1" applyFill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164" fontId="0" fillId="4" borderId="3" xfId="0" applyNumberFormat="1" applyFill="1" applyBorder="1"/>
    <xf numFmtId="165" fontId="6" fillId="3" borderId="2" xfId="0" applyNumberFormat="1" applyFont="1" applyFill="1" applyBorder="1" applyAlignment="1">
      <alignment vertical="center"/>
    </xf>
    <xf numFmtId="44" fontId="8" fillId="4" borderId="3" xfId="2" applyFont="1" applyFill="1" applyBorder="1" applyAlignment="1">
      <alignment vertical="center"/>
    </xf>
    <xf numFmtId="44" fontId="8" fillId="4" borderId="3" xfId="0" applyNumberFormat="1" applyFont="1" applyFill="1" applyBorder="1" applyAlignment="1">
      <alignment horizontal="center" vertical="center"/>
    </xf>
    <xf numFmtId="44" fontId="8" fillId="3" borderId="3" xfId="2" applyFont="1" applyFill="1" applyBorder="1"/>
    <xf numFmtId="44" fontId="8" fillId="3" borderId="3" xfId="1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165" fontId="6" fillId="3" borderId="3" xfId="0" applyNumberFormat="1" applyFont="1" applyFill="1" applyBorder="1" applyAlignment="1">
      <alignment vertical="center"/>
    </xf>
    <xf numFmtId="44" fontId="9" fillId="0" borderId="3" xfId="1" applyFont="1" applyFill="1" applyBorder="1" applyAlignment="1">
      <alignment horizontal="center" vertical="center"/>
    </xf>
    <xf numFmtId="164" fontId="0" fillId="0" borderId="3" xfId="0" applyNumberFormat="1" applyBorder="1"/>
    <xf numFmtId="165" fontId="6" fillId="0" borderId="3" xfId="0" applyNumberFormat="1" applyFont="1" applyBorder="1" applyAlignment="1">
      <alignment vertical="center"/>
    </xf>
    <xf numFmtId="0" fontId="7" fillId="3" borderId="3" xfId="0" applyFont="1" applyFill="1" applyBorder="1"/>
    <xf numFmtId="0" fontId="5" fillId="6" borderId="3" xfId="0" applyFont="1" applyFill="1" applyBorder="1" applyAlignment="1">
      <alignment horizontal="center" vertical="center"/>
    </xf>
    <xf numFmtId="44" fontId="5" fillId="6" borderId="3" xfId="2" applyFont="1" applyFill="1" applyBorder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6" fillId="0" borderId="0" xfId="0" applyFont="1"/>
    <xf numFmtId="44" fontId="6" fillId="4" borderId="0" xfId="0" applyNumberFormat="1" applyFont="1" applyFill="1"/>
    <xf numFmtId="44" fontId="6" fillId="4" borderId="0" xfId="1" applyFont="1" applyFill="1"/>
    <xf numFmtId="44" fontId="5" fillId="4" borderId="0" xfId="0" applyNumberFormat="1" applyFont="1" applyFill="1"/>
    <xf numFmtId="0" fontId="10" fillId="7" borderId="0" xfId="0" applyFont="1" applyFill="1"/>
    <xf numFmtId="44" fontId="10" fillId="7" borderId="0" xfId="0" applyNumberFormat="1" applyFont="1" applyFill="1"/>
    <xf numFmtId="0" fontId="11" fillId="3" borderId="3" xfId="0" applyFont="1" applyFill="1" applyBorder="1" applyAlignment="1">
      <alignment horizontal="center" vertical="center"/>
    </xf>
    <xf numFmtId="44" fontId="11" fillId="3" borderId="3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44" fontId="8" fillId="9" borderId="3" xfId="2" applyFont="1" applyFill="1" applyBorder="1" applyAlignment="1">
      <alignment vertical="center"/>
    </xf>
    <xf numFmtId="44" fontId="8" fillId="4" borderId="3" xfId="1" applyFont="1" applyFill="1" applyBorder="1"/>
    <xf numFmtId="4" fontId="11" fillId="3" borderId="3" xfId="0" applyNumberFormat="1" applyFont="1" applyFill="1" applyBorder="1"/>
    <xf numFmtId="165" fontId="6" fillId="0" borderId="3" xfId="0" applyNumberFormat="1" applyFont="1" applyBorder="1" applyAlignment="1">
      <alignment horizontal="center" vertical="center"/>
    </xf>
    <xf numFmtId="44" fontId="8" fillId="4" borderId="4" xfId="2" applyFont="1" applyFill="1" applyBorder="1"/>
    <xf numFmtId="0" fontId="11" fillId="0" borderId="3" xfId="0" applyFont="1" applyBorder="1"/>
    <xf numFmtId="44" fontId="8" fillId="4" borderId="3" xfId="1" applyFont="1" applyFill="1" applyBorder="1" applyAlignment="1">
      <alignment vertical="center"/>
    </xf>
    <xf numFmtId="165" fontId="8" fillId="3" borderId="3" xfId="0" applyNumberFormat="1" applyFont="1" applyFill="1" applyBorder="1" applyAlignment="1">
      <alignment horizontal="center" vertical="center"/>
    </xf>
    <xf numFmtId="44" fontId="6" fillId="4" borderId="4" xfId="2" applyFont="1" applyFill="1" applyBorder="1" applyAlignment="1">
      <alignment vertical="center"/>
    </xf>
    <xf numFmtId="44" fontId="6" fillId="4" borderId="3" xfId="2" applyFont="1" applyFill="1" applyBorder="1" applyAlignment="1">
      <alignment vertical="center"/>
    </xf>
    <xf numFmtId="16" fontId="11" fillId="0" borderId="3" xfId="0" applyNumberFormat="1" applyFont="1" applyBorder="1"/>
    <xf numFmtId="0" fontId="11" fillId="3" borderId="3" xfId="0" applyFont="1" applyFill="1" applyBorder="1"/>
    <xf numFmtId="165" fontId="8" fillId="0" borderId="3" xfId="0" applyNumberFormat="1" applyFont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/>
    </xf>
    <xf numFmtId="44" fontId="11" fillId="3" borderId="3" xfId="1" applyFont="1" applyFill="1" applyBorder="1" applyAlignment="1">
      <alignment horizontal="left" vertical="center"/>
    </xf>
    <xf numFmtId="44" fontId="8" fillId="3" borderId="3" xfId="1" applyFont="1" applyFill="1" applyBorder="1"/>
    <xf numFmtId="165" fontId="5" fillId="6" borderId="3" xfId="0" applyNumberFormat="1" applyFont="1" applyFill="1" applyBorder="1" applyAlignment="1">
      <alignment horizontal="center" vertical="center"/>
    </xf>
    <xf numFmtId="44" fontId="11" fillId="6" borderId="3" xfId="2" applyFont="1" applyFill="1" applyBorder="1" applyAlignment="1">
      <alignment vertical="center"/>
    </xf>
    <xf numFmtId="0" fontId="11" fillId="6" borderId="3" xfId="0" applyFont="1" applyFill="1" applyBorder="1" applyAlignment="1">
      <alignment horizontal="center" vertical="center"/>
    </xf>
    <xf numFmtId="44" fontId="5" fillId="6" borderId="4" xfId="2" applyFont="1" applyFill="1" applyBorder="1" applyAlignment="1">
      <alignment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44" fontId="8" fillId="4" borderId="3" xfId="2" applyFont="1" applyFill="1" applyBorder="1" applyAlignment="1">
      <alignment horizontal="center" vertical="center"/>
    </xf>
    <xf numFmtId="44" fontId="5" fillId="4" borderId="3" xfId="2" applyFont="1" applyFill="1" applyBorder="1" applyAlignment="1">
      <alignment horizontal="center" vertical="center"/>
    </xf>
    <xf numFmtId="0" fontId="10" fillId="7" borderId="0" xfId="0" applyFont="1" applyFill="1" applyAlignment="1">
      <alignment horizontal="right"/>
    </xf>
    <xf numFmtId="0" fontId="6" fillId="3" borderId="3" xfId="0" applyFont="1" applyFill="1" applyBorder="1"/>
    <xf numFmtId="165" fontId="6" fillId="3" borderId="3" xfId="0" applyNumberFormat="1" applyFont="1" applyFill="1" applyBorder="1"/>
    <xf numFmtId="44" fontId="9" fillId="4" borderId="3" xfId="1" applyFont="1" applyFill="1" applyBorder="1"/>
    <xf numFmtId="0" fontId="8" fillId="3" borderId="3" xfId="0" applyFont="1" applyFill="1" applyBorder="1" applyAlignment="1">
      <alignment horizontal="left" vertical="center"/>
    </xf>
    <xf numFmtId="44" fontId="0" fillId="4" borderId="3" xfId="0" applyNumberFormat="1" applyFill="1" applyBorder="1"/>
    <xf numFmtId="44" fontId="2" fillId="0" borderId="3" xfId="1" applyFont="1" applyBorder="1"/>
    <xf numFmtId="44" fontId="8" fillId="4" borderId="3" xfId="1" applyFont="1" applyFill="1" applyBorder="1" applyAlignment="1">
      <alignment horizontal="center" vertical="center"/>
    </xf>
    <xf numFmtId="44" fontId="8" fillId="0" borderId="3" xfId="1" applyFont="1" applyFill="1" applyBorder="1" applyAlignment="1">
      <alignment horizontal="center" vertical="center"/>
    </xf>
    <xf numFmtId="44" fontId="9" fillId="4" borderId="3" xfId="1" applyFont="1" applyFill="1" applyBorder="1" applyAlignment="1">
      <alignment horizontal="center" vertical="center"/>
    </xf>
    <xf numFmtId="44" fontId="8" fillId="0" borderId="3" xfId="1" applyFont="1" applyBorder="1"/>
    <xf numFmtId="44" fontId="8" fillId="0" borderId="3" xfId="1" applyFont="1" applyBorder="1" applyAlignment="1">
      <alignment vertical="center"/>
    </xf>
    <xf numFmtId="16" fontId="8" fillId="0" borderId="3" xfId="0" applyNumberFormat="1" applyFont="1" applyBorder="1"/>
    <xf numFmtId="16" fontId="11" fillId="4" borderId="3" xfId="0" applyNumberFormat="1" applyFont="1" applyFill="1" applyBorder="1"/>
    <xf numFmtId="0" fontId="0" fillId="4" borderId="0" xfId="0" applyFill="1"/>
    <xf numFmtId="0" fontId="5" fillId="6" borderId="3" xfId="0" applyFont="1" applyFill="1" applyBorder="1" applyAlignment="1">
      <alignment horizontal="center"/>
    </xf>
    <xf numFmtId="44" fontId="5" fillId="6" borderId="3" xfId="2" applyFont="1" applyFill="1" applyBorder="1"/>
    <xf numFmtId="0" fontId="3" fillId="10" borderId="0" xfId="0" applyFont="1" applyFill="1" applyAlignment="1">
      <alignment horizontal="center" vertical="center"/>
    </xf>
    <xf numFmtId="44" fontId="0" fillId="4" borderId="0" xfId="0" applyNumberFormat="1" applyFill="1"/>
    <xf numFmtId="44" fontId="3" fillId="4" borderId="0" xfId="0" applyNumberFormat="1" applyFont="1" applyFill="1"/>
    <xf numFmtId="44" fontId="8" fillId="0" borderId="3" xfId="1" applyFont="1" applyBorder="1" applyAlignment="1">
      <alignment horizontal="right"/>
    </xf>
    <xf numFmtId="44" fontId="6" fillId="3" borderId="3" xfId="1" applyFont="1" applyFill="1" applyBorder="1"/>
    <xf numFmtId="44" fontId="6" fillId="0" borderId="3" xfId="2" applyFont="1" applyFill="1" applyBorder="1"/>
    <xf numFmtId="44" fontId="8" fillId="4" borderId="3" xfId="2" applyFont="1" applyFill="1" applyBorder="1" applyAlignment="1">
      <alignment horizontal="center"/>
    </xf>
    <xf numFmtId="44" fontId="9" fillId="4" borderId="3" xfId="1" applyFont="1" applyFill="1" applyBorder="1" applyAlignment="1">
      <alignment horizontal="center"/>
    </xf>
    <xf numFmtId="44" fontId="6" fillId="3" borderId="3" xfId="2" applyFont="1" applyFill="1" applyBorder="1" applyAlignment="1">
      <alignment horizontal="center"/>
    </xf>
    <xf numFmtId="44" fontId="8" fillId="4" borderId="3" xfId="0" applyNumberFormat="1" applyFont="1" applyFill="1" applyBorder="1" applyAlignment="1">
      <alignment horizontal="center"/>
    </xf>
    <xf numFmtId="44" fontId="6" fillId="4" borderId="3" xfId="1" applyFont="1" applyFill="1" applyBorder="1"/>
    <xf numFmtId="44" fontId="6" fillId="4" borderId="3" xfId="0" applyNumberFormat="1" applyFont="1" applyFill="1" applyBorder="1"/>
    <xf numFmtId="44" fontId="2" fillId="0" borderId="0" xfId="1" applyFont="1" applyBorder="1"/>
    <xf numFmtId="0" fontId="6" fillId="11" borderId="3" xfId="0" applyFont="1" applyFill="1" applyBorder="1"/>
    <xf numFmtId="44" fontId="8" fillId="4" borderId="0" xfId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0" fillId="0" borderId="0" xfId="0" applyNumberFormat="1"/>
    <xf numFmtId="0" fontId="6" fillId="3" borderId="3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8" fillId="3" borderId="3" xfId="0" applyFont="1" applyFill="1" applyBorder="1"/>
    <xf numFmtId="0" fontId="10" fillId="7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10" fillId="2" borderId="9" xfId="0" applyFont="1" applyFill="1" applyBorder="1"/>
    <xf numFmtId="44" fontId="6" fillId="5" borderId="4" xfId="2" applyFont="1" applyFill="1" applyBorder="1" applyAlignment="1">
      <alignment vertical="center"/>
    </xf>
    <xf numFmtId="44" fontId="6" fillId="5" borderId="3" xfId="2" applyFont="1" applyFill="1" applyBorder="1" applyAlignment="1">
      <alignment vertical="center"/>
    </xf>
    <xf numFmtId="44" fontId="6" fillId="5" borderId="4" xfId="1" applyFont="1" applyFill="1" applyBorder="1" applyAlignment="1">
      <alignment vertical="center"/>
    </xf>
    <xf numFmtId="44" fontId="6" fillId="5" borderId="3" xfId="1" applyFont="1" applyFill="1" applyBorder="1" applyAlignment="1">
      <alignment vertical="center"/>
    </xf>
    <xf numFmtId="44" fontId="0" fillId="5" borderId="3" xfId="1" applyFont="1" applyFill="1" applyBorder="1"/>
    <xf numFmtId="44" fontId="8" fillId="5" borderId="3" xfId="1" applyFont="1" applyFill="1" applyBorder="1" applyAlignment="1">
      <alignment horizontal="center" vertical="center"/>
    </xf>
    <xf numFmtId="16" fontId="11" fillId="5" borderId="3" xfId="0" applyNumberFormat="1" applyFont="1" applyFill="1" applyBorder="1"/>
    <xf numFmtId="44" fontId="8" fillId="5" borderId="3" xfId="1" applyFont="1" applyFill="1" applyBorder="1"/>
    <xf numFmtId="0" fontId="6" fillId="5" borderId="3" xfId="0" applyFont="1" applyFill="1" applyBorder="1"/>
    <xf numFmtId="0" fontId="8" fillId="5" borderId="3" xfId="0" applyFont="1" applyFill="1" applyBorder="1"/>
    <xf numFmtId="0" fontId="10" fillId="7" borderId="0" xfId="0" applyFont="1" applyFill="1" applyAlignment="1">
      <alignment horizontal="center"/>
    </xf>
    <xf numFmtId="44" fontId="8" fillId="4" borderId="4" xfId="1" applyFont="1" applyFill="1" applyBorder="1"/>
    <xf numFmtId="44" fontId="8" fillId="5" borderId="3" xfId="2" applyFont="1" applyFill="1" applyBorder="1"/>
    <xf numFmtId="44" fontId="8" fillId="5" borderId="3" xfId="1" applyFont="1" applyFill="1" applyBorder="1" applyAlignment="1">
      <alignment vertical="center"/>
    </xf>
    <xf numFmtId="44" fontId="8" fillId="12" borderId="3" xfId="1" applyFont="1" applyFill="1" applyBorder="1"/>
    <xf numFmtId="44" fontId="8" fillId="12" borderId="3" xfId="1" applyFont="1" applyFill="1" applyBorder="1" applyAlignment="1">
      <alignment horizontal="center" vertical="center"/>
    </xf>
    <xf numFmtId="44" fontId="8" fillId="12" borderId="4" xfId="2" applyFont="1" applyFill="1" applyBorder="1"/>
    <xf numFmtId="44" fontId="8" fillId="12" borderId="3" xfId="1" applyFont="1" applyFill="1" applyBorder="1" applyAlignment="1">
      <alignment vertical="center"/>
    </xf>
    <xf numFmtId="44" fontId="6" fillId="12" borderId="4" xfId="1" applyFont="1" applyFill="1" applyBorder="1" applyAlignment="1">
      <alignment vertical="center"/>
    </xf>
    <xf numFmtId="44" fontId="6" fillId="12" borderId="3" xfId="1" applyFont="1" applyFill="1" applyBorder="1" applyAlignment="1">
      <alignment vertical="center"/>
    </xf>
    <xf numFmtId="44" fontId="0" fillId="4" borderId="0" xfId="1" applyFont="1" applyFill="1"/>
    <xf numFmtId="16" fontId="0" fillId="0" borderId="0" xfId="0" applyNumberFormat="1"/>
    <xf numFmtId="165" fontId="6" fillId="5" borderId="3" xfId="0" applyNumberFormat="1" applyFont="1" applyFill="1" applyBorder="1" applyAlignment="1">
      <alignment vertical="center"/>
    </xf>
    <xf numFmtId="0" fontId="0" fillId="0" borderId="5" xfId="0" applyBorder="1"/>
    <xf numFmtId="0" fontId="6" fillId="3" borderId="3" xfId="0" applyFont="1" applyFill="1" applyBorder="1" applyAlignment="1">
      <alignment horizontal="left" vertical="center"/>
    </xf>
    <xf numFmtId="0" fontId="3" fillId="0" borderId="0" xfId="0" applyFont="1"/>
    <xf numFmtId="0" fontId="10" fillId="7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</cellXfs>
  <cellStyles count="3">
    <cellStyle name="Moeda" xfId="1" builtinId="4"/>
    <cellStyle name="Moeda 2" xfId="2" xr:uid="{8A42A3A2-3DB4-4F55-8107-BE4C348BC21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D2E4-E9EF-4824-A2BA-E42E24C15540}">
  <sheetPr>
    <pageSetUpPr fitToPage="1"/>
  </sheetPr>
  <dimension ref="A1:M48"/>
  <sheetViews>
    <sheetView zoomScale="85" zoomScaleNormal="85" workbookViewId="0">
      <selection activeCell="C7" sqref="C7"/>
    </sheetView>
  </sheetViews>
  <sheetFormatPr defaultRowHeight="15" x14ac:dyDescent="0.25"/>
  <cols>
    <col min="2" max="2" width="47" customWidth="1"/>
    <col min="3" max="3" width="15.7109375" customWidth="1"/>
    <col min="4" max="4" width="22.7109375" customWidth="1"/>
    <col min="5" max="5" width="18.28515625" customWidth="1"/>
    <col min="6" max="6" width="15.28515625" customWidth="1"/>
    <col min="7" max="7" width="15.28515625" bestFit="1" customWidth="1"/>
    <col min="8" max="8" width="21.5703125" bestFit="1" customWidth="1"/>
    <col min="9" max="9" width="16.7109375" bestFit="1" customWidth="1"/>
    <col min="10" max="10" width="15" customWidth="1"/>
    <col min="11" max="11" width="18.140625" bestFit="1" customWidth="1"/>
    <col min="12" max="12" width="14" bestFit="1" customWidth="1"/>
    <col min="13" max="13" width="18.140625" bestFit="1" customWidth="1"/>
    <col min="14" max="14" width="14.85546875" customWidth="1"/>
    <col min="15" max="15" width="16.140625" customWidth="1"/>
  </cols>
  <sheetData>
    <row r="1" spans="1:13" ht="15.75" x14ac:dyDescent="0.25">
      <c r="B1" s="131" t="s">
        <v>104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</row>
    <row r="2" spans="1:13" ht="15.7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118</v>
      </c>
      <c r="H2" s="1" t="s">
        <v>6</v>
      </c>
      <c r="I2" s="3" t="s">
        <v>7</v>
      </c>
      <c r="J2" s="4"/>
      <c r="K2" s="1" t="s">
        <v>139</v>
      </c>
      <c r="L2" s="1" t="s">
        <v>8</v>
      </c>
      <c r="M2" s="5" t="s">
        <v>9</v>
      </c>
    </row>
    <row r="3" spans="1:13" ht="15.75" x14ac:dyDescent="0.25">
      <c r="A3" s="125">
        <v>46255</v>
      </c>
      <c r="B3" s="99" t="s">
        <v>113</v>
      </c>
      <c r="C3" s="11">
        <v>3000</v>
      </c>
      <c r="D3" s="12">
        <v>2254.14</v>
      </c>
      <c r="E3" s="13"/>
      <c r="F3" s="7"/>
      <c r="G3" s="2"/>
      <c r="H3" s="8">
        <f>SUM(D3:G3)</f>
        <v>2254.14</v>
      </c>
      <c r="I3" s="9" t="s">
        <v>135</v>
      </c>
      <c r="J3" s="4"/>
      <c r="K3" s="14">
        <v>257.39999999999998</v>
      </c>
      <c r="L3" s="15">
        <v>207.9</v>
      </c>
      <c r="M3" s="10">
        <f>H3+K3+L3</f>
        <v>2719.44</v>
      </c>
    </row>
    <row r="4" spans="1:13" ht="15.75" x14ac:dyDescent="0.25">
      <c r="A4" s="125">
        <v>46301</v>
      </c>
      <c r="B4" s="16" t="s">
        <v>10</v>
      </c>
      <c r="C4" s="20">
        <v>1989.2</v>
      </c>
      <c r="D4" s="12">
        <v>1734.6</v>
      </c>
      <c r="E4" s="13">
        <v>115</v>
      </c>
      <c r="F4" s="13"/>
      <c r="G4" s="18"/>
      <c r="H4" s="8">
        <f t="shared" ref="H4:H18" si="0">SUM(D4:G4)</f>
        <v>1849.6</v>
      </c>
      <c r="I4" s="92" t="s">
        <v>11</v>
      </c>
      <c r="J4" s="93"/>
      <c r="K4" s="14" t="s">
        <v>137</v>
      </c>
      <c r="L4" s="15">
        <v>207.9</v>
      </c>
      <c r="M4" s="10">
        <f>H4+L4</f>
        <v>2057.5</v>
      </c>
    </row>
    <row r="5" spans="1:13" ht="15.75" x14ac:dyDescent="0.25">
      <c r="A5" s="125">
        <v>46282</v>
      </c>
      <c r="B5" s="16" t="s">
        <v>122</v>
      </c>
      <c r="C5" s="126"/>
      <c r="D5" s="12"/>
      <c r="E5" s="13"/>
      <c r="F5" s="13"/>
      <c r="G5" s="18"/>
      <c r="H5" s="8">
        <f t="shared" si="0"/>
        <v>0</v>
      </c>
      <c r="I5" s="92"/>
      <c r="J5" s="93"/>
      <c r="K5" s="116"/>
      <c r="L5" s="117"/>
      <c r="M5" s="10">
        <f t="shared" ref="M5:M17" si="1">H5+K5+L5</f>
        <v>0</v>
      </c>
    </row>
    <row r="6" spans="1:13" ht="15.75" x14ac:dyDescent="0.25">
      <c r="A6" s="125">
        <v>46036</v>
      </c>
      <c r="B6" s="16" t="s">
        <v>121</v>
      </c>
      <c r="C6" s="126"/>
      <c r="D6" s="12"/>
      <c r="E6" s="13"/>
      <c r="F6" s="13"/>
      <c r="G6" s="18"/>
      <c r="H6" s="8">
        <f t="shared" si="0"/>
        <v>0</v>
      </c>
      <c r="I6" s="92"/>
      <c r="J6" s="93"/>
      <c r="K6" s="116"/>
      <c r="L6" s="117"/>
      <c r="M6" s="10">
        <f t="shared" si="1"/>
        <v>0</v>
      </c>
    </row>
    <row r="7" spans="1:13" ht="15.75" x14ac:dyDescent="0.25">
      <c r="A7" s="125">
        <v>46161</v>
      </c>
      <c r="B7" s="64" t="s">
        <v>145</v>
      </c>
      <c r="C7" s="17">
        <v>1989.2</v>
      </c>
      <c r="D7" s="12">
        <v>1734.6</v>
      </c>
      <c r="E7" s="13">
        <v>115</v>
      </c>
      <c r="F7" s="13"/>
      <c r="G7" s="18"/>
      <c r="H7" s="8">
        <f t="shared" si="0"/>
        <v>1849.6</v>
      </c>
      <c r="I7" s="100" t="s">
        <v>154</v>
      </c>
      <c r="J7" s="101"/>
      <c r="K7" s="14">
        <v>257.39999999999998</v>
      </c>
      <c r="L7" s="15">
        <v>207.9</v>
      </c>
      <c r="M7" s="10">
        <f t="shared" si="1"/>
        <v>2314.9</v>
      </c>
    </row>
    <row r="8" spans="1:13" ht="15.75" x14ac:dyDescent="0.25">
      <c r="A8" s="125">
        <v>46167</v>
      </c>
      <c r="B8" s="64" t="s">
        <v>12</v>
      </c>
      <c r="C8" s="126"/>
      <c r="D8" s="12"/>
      <c r="E8" s="13"/>
      <c r="F8" s="13"/>
      <c r="G8" s="18"/>
      <c r="H8" s="8">
        <f t="shared" si="0"/>
        <v>0</v>
      </c>
      <c r="I8" s="100"/>
      <c r="J8" s="101"/>
      <c r="K8" s="116"/>
      <c r="L8" s="117"/>
      <c r="M8" s="10">
        <f t="shared" si="1"/>
        <v>0</v>
      </c>
    </row>
    <row r="9" spans="1:13" ht="15.75" x14ac:dyDescent="0.25">
      <c r="A9" s="125">
        <v>46058</v>
      </c>
      <c r="B9" s="64" t="s">
        <v>13</v>
      </c>
      <c r="C9" s="20">
        <v>1821</v>
      </c>
      <c r="D9" s="12">
        <v>968.53</v>
      </c>
      <c r="E9" s="13"/>
      <c r="F9" s="13"/>
      <c r="G9" s="18"/>
      <c r="H9" s="8">
        <f t="shared" si="0"/>
        <v>968.53</v>
      </c>
      <c r="I9" s="9" t="s">
        <v>14</v>
      </c>
      <c r="J9" s="4"/>
      <c r="K9" s="14">
        <v>257.39999999999998</v>
      </c>
      <c r="L9" s="15">
        <v>207.9</v>
      </c>
      <c r="M9" s="10">
        <f t="shared" si="1"/>
        <v>1433.83</v>
      </c>
    </row>
    <row r="10" spans="1:13" ht="15.75" x14ac:dyDescent="0.25">
      <c r="A10" s="125">
        <v>46148</v>
      </c>
      <c r="B10" s="64" t="s">
        <v>129</v>
      </c>
      <c r="C10" s="17">
        <v>2145.1999999999998</v>
      </c>
      <c r="D10" s="12">
        <v>1867.2</v>
      </c>
      <c r="E10" s="13"/>
      <c r="F10" s="13"/>
      <c r="G10" s="18"/>
      <c r="H10" s="8">
        <f t="shared" si="0"/>
        <v>1867.2</v>
      </c>
      <c r="I10" s="21" t="s">
        <v>144</v>
      </c>
      <c r="J10" s="4"/>
      <c r="K10" s="14" t="s">
        <v>137</v>
      </c>
      <c r="L10" s="15">
        <v>207.9</v>
      </c>
      <c r="M10" s="10">
        <f>H10+L10</f>
        <v>2075.1</v>
      </c>
    </row>
    <row r="11" spans="1:13" ht="15.75" x14ac:dyDescent="0.25">
      <c r="A11" s="125">
        <v>46046</v>
      </c>
      <c r="B11" s="64" t="s">
        <v>165</v>
      </c>
      <c r="C11" s="17">
        <v>800</v>
      </c>
      <c r="D11" s="12">
        <v>800</v>
      </c>
      <c r="E11" s="13"/>
      <c r="F11" s="13"/>
      <c r="G11" s="18"/>
      <c r="H11" s="8">
        <f>SUM(D11:G11)</f>
        <v>800</v>
      </c>
      <c r="I11" s="21" t="s">
        <v>185</v>
      </c>
      <c r="J11" s="4"/>
      <c r="K11" s="14" t="s">
        <v>137</v>
      </c>
      <c r="L11" s="15"/>
      <c r="M11" s="10">
        <f>H11+L11</f>
        <v>800</v>
      </c>
    </row>
    <row r="12" spans="1:13" ht="15.75" x14ac:dyDescent="0.25">
      <c r="A12" s="125">
        <v>46208</v>
      </c>
      <c r="B12" s="64" t="s">
        <v>176</v>
      </c>
      <c r="C12" s="17">
        <v>1821</v>
      </c>
      <c r="D12" s="12">
        <v>457.31</v>
      </c>
      <c r="E12" s="13"/>
      <c r="F12" s="13"/>
      <c r="G12" s="18"/>
      <c r="H12" s="8">
        <f>SUM(D12:G12)</f>
        <v>457.31</v>
      </c>
      <c r="I12" s="21" t="s">
        <v>181</v>
      </c>
      <c r="J12" s="4"/>
      <c r="K12" s="14">
        <v>257.39999999999998</v>
      </c>
      <c r="L12" s="15">
        <v>207.9</v>
      </c>
      <c r="M12" s="10">
        <f t="shared" si="1"/>
        <v>922.61</v>
      </c>
    </row>
    <row r="13" spans="1:13" ht="15.75" x14ac:dyDescent="0.25">
      <c r="A13" s="125">
        <v>46368</v>
      </c>
      <c r="B13" s="64" t="s">
        <v>114</v>
      </c>
      <c r="C13" s="20">
        <v>1989.2</v>
      </c>
      <c r="D13" s="12">
        <v>1234.5999999999999</v>
      </c>
      <c r="E13" s="13">
        <v>115</v>
      </c>
      <c r="F13" s="13"/>
      <c r="G13" s="18"/>
      <c r="H13" s="8">
        <f t="shared" si="0"/>
        <v>1349.6</v>
      </c>
      <c r="I13" s="9" t="s">
        <v>134</v>
      </c>
      <c r="J13" s="4"/>
      <c r="K13" s="14" t="s">
        <v>196</v>
      </c>
      <c r="L13" s="15"/>
      <c r="M13" s="10">
        <f>H13</f>
        <v>1349.6</v>
      </c>
    </row>
    <row r="14" spans="1:13" ht="15.75" x14ac:dyDescent="0.25">
      <c r="A14" s="125"/>
      <c r="B14" s="64" t="s">
        <v>205</v>
      </c>
      <c r="C14" s="20">
        <v>2000</v>
      </c>
      <c r="D14" s="12">
        <v>2140</v>
      </c>
      <c r="E14" s="13"/>
      <c r="F14" s="13"/>
      <c r="G14" s="18"/>
      <c r="H14" s="8">
        <f t="shared" si="0"/>
        <v>2140</v>
      </c>
      <c r="I14" s="9" t="s">
        <v>206</v>
      </c>
      <c r="J14" s="4"/>
      <c r="K14" s="14"/>
      <c r="L14" s="15"/>
      <c r="M14" s="10">
        <f>H14</f>
        <v>2140</v>
      </c>
    </row>
    <row r="15" spans="1:13" ht="15.75" x14ac:dyDescent="0.25">
      <c r="B15" s="64" t="s">
        <v>125</v>
      </c>
      <c r="C15" s="20">
        <v>2700</v>
      </c>
      <c r="D15" s="12">
        <v>3980.4</v>
      </c>
      <c r="E15" s="13"/>
      <c r="F15" s="13"/>
      <c r="G15" s="18"/>
      <c r="H15" s="8">
        <f t="shared" si="0"/>
        <v>3980.4</v>
      </c>
      <c r="I15" s="9" t="s">
        <v>133</v>
      </c>
      <c r="J15" s="4"/>
      <c r="K15" s="116"/>
      <c r="L15" s="117"/>
      <c r="M15" s="10">
        <f t="shared" si="1"/>
        <v>3980.4</v>
      </c>
    </row>
    <row r="16" spans="1:13" ht="15.75" x14ac:dyDescent="0.25">
      <c r="A16" s="125">
        <v>46144</v>
      </c>
      <c r="B16" s="64" t="s">
        <v>15</v>
      </c>
      <c r="C16" s="20">
        <v>3000</v>
      </c>
      <c r="D16" s="12">
        <v>2193.4499999999998</v>
      </c>
      <c r="E16" s="13"/>
      <c r="F16" s="13"/>
      <c r="G16" s="18"/>
      <c r="H16" s="8">
        <f t="shared" si="0"/>
        <v>2193.4499999999998</v>
      </c>
      <c r="I16" s="9" t="s">
        <v>16</v>
      </c>
      <c r="J16" s="4"/>
      <c r="K16" s="14">
        <v>257.39999999999998</v>
      </c>
      <c r="L16" s="15">
        <v>207.9</v>
      </c>
      <c r="M16" s="10">
        <f t="shared" si="1"/>
        <v>2658.75</v>
      </c>
    </row>
    <row r="17" spans="1:13" ht="15.75" x14ac:dyDescent="0.25">
      <c r="A17" s="125">
        <v>46286</v>
      </c>
      <c r="B17" s="64" t="s">
        <v>17</v>
      </c>
      <c r="C17" s="20">
        <v>1821</v>
      </c>
      <c r="D17" s="12">
        <v>1361.01</v>
      </c>
      <c r="E17" s="13"/>
      <c r="F17" s="13"/>
      <c r="G17" s="18"/>
      <c r="H17" s="8">
        <f t="shared" si="0"/>
        <v>1361.01</v>
      </c>
      <c r="I17" s="9" t="s">
        <v>18</v>
      </c>
      <c r="J17" s="4"/>
      <c r="K17" s="14">
        <v>257.39999999999998</v>
      </c>
      <c r="L17" s="15">
        <v>207.9</v>
      </c>
      <c r="M17" s="10">
        <f t="shared" si="1"/>
        <v>1826.31</v>
      </c>
    </row>
    <row r="18" spans="1:13" ht="15.75" x14ac:dyDescent="0.25">
      <c r="A18" s="125">
        <v>46066</v>
      </c>
      <c r="B18" s="64" t="s">
        <v>177</v>
      </c>
      <c r="C18" s="20">
        <v>1821</v>
      </c>
      <c r="D18" s="12">
        <v>609.75</v>
      </c>
      <c r="E18" s="13"/>
      <c r="F18" s="13"/>
      <c r="G18" s="18"/>
      <c r="H18" s="8">
        <f t="shared" si="0"/>
        <v>609.75</v>
      </c>
      <c r="I18" s="102" t="s">
        <v>180</v>
      </c>
      <c r="J18" s="127"/>
      <c r="K18" s="14" t="s">
        <v>136</v>
      </c>
      <c r="L18" s="15">
        <v>207.9</v>
      </c>
      <c r="M18" s="10">
        <f>H18+L18</f>
        <v>817.65</v>
      </c>
    </row>
    <row r="19" spans="1:13" ht="15.75" x14ac:dyDescent="0.25">
      <c r="B19" s="22" t="s">
        <v>9</v>
      </c>
      <c r="C19" s="22"/>
      <c r="D19" s="23">
        <f>SUM(D1:D18)</f>
        <v>21335.59</v>
      </c>
      <c r="E19" s="23">
        <f>SUM(E1:E18)</f>
        <v>345</v>
      </c>
      <c r="F19" s="23">
        <f>SUM(F1:F18)</f>
        <v>0</v>
      </c>
      <c r="G19" s="23">
        <f>SUM(I1:I18)</f>
        <v>0</v>
      </c>
      <c r="H19" s="23">
        <f>SUM(H3:H18)</f>
        <v>21680.59</v>
      </c>
      <c r="I19" s="23"/>
      <c r="J19" s="23"/>
      <c r="K19" s="23">
        <f>SUM(K3:K18)</f>
        <v>1544.4</v>
      </c>
      <c r="L19" s="23">
        <f>SUM(L3:L18)</f>
        <v>1871.1000000000004</v>
      </c>
      <c r="M19" s="23">
        <f>SUM(M3:M18)</f>
        <v>25096.090000000004</v>
      </c>
    </row>
    <row r="22" spans="1:13" ht="15.75" x14ac:dyDescent="0.25">
      <c r="B22" s="130" t="s">
        <v>19</v>
      </c>
      <c r="C22" s="130"/>
      <c r="D22" s="130"/>
      <c r="E22" s="130"/>
      <c r="F22" s="130"/>
      <c r="G22" s="130"/>
      <c r="H22" s="130"/>
    </row>
    <row r="23" spans="1:13" ht="15.75" x14ac:dyDescent="0.25">
      <c r="B23" s="24" t="s">
        <v>20</v>
      </c>
      <c r="C23" s="24" t="s">
        <v>21</v>
      </c>
      <c r="D23" s="24" t="s">
        <v>22</v>
      </c>
      <c r="E23" s="24" t="s">
        <v>143</v>
      </c>
      <c r="F23" s="24" t="s">
        <v>8</v>
      </c>
      <c r="G23" s="24" t="s">
        <v>23</v>
      </c>
      <c r="H23" s="24" t="s">
        <v>24</v>
      </c>
    </row>
    <row r="24" spans="1:13" ht="15.75" x14ac:dyDescent="0.25">
      <c r="B24" s="25" t="s">
        <v>142</v>
      </c>
      <c r="C24" s="26">
        <f t="shared" ref="C24:C39" si="2">D3+F3+G3</f>
        <v>2254.14</v>
      </c>
      <c r="D24" s="27">
        <f t="shared" ref="D24:D35" si="3">E3</f>
        <v>0</v>
      </c>
      <c r="E24" s="26">
        <f t="shared" ref="E24:E35" si="4">K3</f>
        <v>257.39999999999998</v>
      </c>
      <c r="F24" s="26">
        <f t="shared" ref="F24:F35" si="5">L3</f>
        <v>207.9</v>
      </c>
      <c r="G24" s="28">
        <f>SUM(C24:F24)</f>
        <v>2719.44</v>
      </c>
      <c r="H24" s="25" t="str">
        <f>I3</f>
        <v>PIX - 67984520468</v>
      </c>
    </row>
    <row r="25" spans="1:13" ht="15.75" x14ac:dyDescent="0.25">
      <c r="B25" s="25" t="s">
        <v>10</v>
      </c>
      <c r="C25" s="26">
        <f t="shared" si="2"/>
        <v>1734.6</v>
      </c>
      <c r="D25" s="27">
        <f t="shared" si="3"/>
        <v>115</v>
      </c>
      <c r="E25" s="26" t="str">
        <f t="shared" si="4"/>
        <v>cartão</v>
      </c>
      <c r="F25" s="26">
        <f t="shared" si="5"/>
        <v>207.9</v>
      </c>
      <c r="G25" s="28">
        <f t="shared" ref="G25:G39" si="6">SUM(C25:F25)</f>
        <v>2057.5</v>
      </c>
      <c r="H25" s="25" t="str">
        <f>I4</f>
        <v>PIX - 002.219.501-76</v>
      </c>
    </row>
    <row r="26" spans="1:13" ht="15.75" x14ac:dyDescent="0.25">
      <c r="B26" s="25" t="s">
        <v>122</v>
      </c>
      <c r="C26" s="26">
        <f t="shared" si="2"/>
        <v>0</v>
      </c>
      <c r="D26" s="27">
        <f t="shared" si="3"/>
        <v>0</v>
      </c>
      <c r="E26" s="26">
        <f t="shared" si="4"/>
        <v>0</v>
      </c>
      <c r="F26" s="26">
        <f t="shared" si="5"/>
        <v>0</v>
      </c>
      <c r="G26" s="28">
        <f t="shared" si="6"/>
        <v>0</v>
      </c>
      <c r="H26" s="25"/>
      <c r="I26" s="25"/>
    </row>
    <row r="27" spans="1:13" ht="15.75" x14ac:dyDescent="0.25">
      <c r="B27" s="25" t="s">
        <v>121</v>
      </c>
      <c r="C27" s="26">
        <f t="shared" si="2"/>
        <v>0</v>
      </c>
      <c r="D27" s="27">
        <f t="shared" si="3"/>
        <v>0</v>
      </c>
      <c r="E27" s="26">
        <f t="shared" si="4"/>
        <v>0</v>
      </c>
      <c r="F27" s="26">
        <f t="shared" si="5"/>
        <v>0</v>
      </c>
      <c r="G27" s="28">
        <f t="shared" si="6"/>
        <v>0</v>
      </c>
      <c r="H27" s="25"/>
    </row>
    <row r="28" spans="1:13" ht="15.75" x14ac:dyDescent="0.25">
      <c r="B28" s="25" t="s">
        <v>145</v>
      </c>
      <c r="C28" s="26">
        <f t="shared" si="2"/>
        <v>1734.6</v>
      </c>
      <c r="D28" s="27">
        <f t="shared" si="3"/>
        <v>115</v>
      </c>
      <c r="E28" s="26">
        <f t="shared" si="4"/>
        <v>257.39999999999998</v>
      </c>
      <c r="F28" s="26">
        <f t="shared" si="5"/>
        <v>207.9</v>
      </c>
      <c r="G28" s="28">
        <f t="shared" si="6"/>
        <v>2314.9</v>
      </c>
      <c r="H28" s="25" t="str">
        <f>I7</f>
        <v>PIX - 67999673761</v>
      </c>
    </row>
    <row r="29" spans="1:13" ht="15.75" x14ac:dyDescent="0.25">
      <c r="B29" s="25" t="s">
        <v>12</v>
      </c>
      <c r="C29" s="26">
        <f t="shared" si="2"/>
        <v>0</v>
      </c>
      <c r="D29" s="27">
        <f t="shared" si="3"/>
        <v>0</v>
      </c>
      <c r="E29" s="26">
        <f t="shared" si="4"/>
        <v>0</v>
      </c>
      <c r="F29" s="26">
        <f t="shared" si="5"/>
        <v>0</v>
      </c>
      <c r="G29" s="28">
        <f t="shared" si="6"/>
        <v>0</v>
      </c>
      <c r="H29" s="25"/>
    </row>
    <row r="30" spans="1:13" ht="15.75" x14ac:dyDescent="0.25">
      <c r="B30" s="25" t="s">
        <v>13</v>
      </c>
      <c r="C30" s="26">
        <f t="shared" si="2"/>
        <v>968.53</v>
      </c>
      <c r="D30" s="27">
        <f t="shared" si="3"/>
        <v>0</v>
      </c>
      <c r="E30" s="26">
        <f t="shared" si="4"/>
        <v>257.39999999999998</v>
      </c>
      <c r="F30" s="26">
        <f t="shared" si="5"/>
        <v>207.9</v>
      </c>
      <c r="G30" s="28">
        <f t="shared" si="6"/>
        <v>1433.83</v>
      </c>
      <c r="H30" s="25" t="str">
        <f t="shared" ref="H30:H39" si="7">I9</f>
        <v>PIX - 67991232768</v>
      </c>
    </row>
    <row r="31" spans="1:13" ht="15.75" x14ac:dyDescent="0.25">
      <c r="B31" s="25" t="s">
        <v>129</v>
      </c>
      <c r="C31" s="26">
        <f t="shared" si="2"/>
        <v>1867.2</v>
      </c>
      <c r="D31" s="27">
        <f t="shared" si="3"/>
        <v>0</v>
      </c>
      <c r="E31" s="26" t="str">
        <f t="shared" si="4"/>
        <v>cartão</v>
      </c>
      <c r="F31" s="26">
        <f t="shared" si="5"/>
        <v>207.9</v>
      </c>
      <c r="G31" s="28">
        <f t="shared" si="6"/>
        <v>2075.1</v>
      </c>
      <c r="H31" s="25" t="str">
        <f t="shared" si="7"/>
        <v xml:space="preserve">PIX - 67993452933 </v>
      </c>
    </row>
    <row r="32" spans="1:13" ht="15.75" x14ac:dyDescent="0.25">
      <c r="B32" s="25" t="s">
        <v>165</v>
      </c>
      <c r="C32" s="26">
        <f t="shared" si="2"/>
        <v>800</v>
      </c>
      <c r="D32" s="27">
        <f t="shared" si="3"/>
        <v>0</v>
      </c>
      <c r="E32" s="26" t="str">
        <f t="shared" si="4"/>
        <v>cartão</v>
      </c>
      <c r="F32" s="26">
        <f t="shared" si="5"/>
        <v>0</v>
      </c>
      <c r="G32" s="28">
        <f t="shared" si="6"/>
        <v>800</v>
      </c>
      <c r="H32" s="25" t="str">
        <f t="shared" si="7"/>
        <v>PIX - karolinevitoriadelimasilva@gmail.com</v>
      </c>
    </row>
    <row r="33" spans="2:8" ht="15.75" x14ac:dyDescent="0.25">
      <c r="B33" s="25" t="s">
        <v>176</v>
      </c>
      <c r="C33" s="26">
        <f t="shared" si="2"/>
        <v>457.31</v>
      </c>
      <c r="D33" s="27">
        <f t="shared" si="3"/>
        <v>0</v>
      </c>
      <c r="E33" s="26">
        <f t="shared" si="4"/>
        <v>257.39999999999998</v>
      </c>
      <c r="F33" s="26">
        <f t="shared" si="5"/>
        <v>207.9</v>
      </c>
      <c r="G33" s="28">
        <f t="shared" si="6"/>
        <v>922.61</v>
      </c>
      <c r="H33" s="25" t="str">
        <f t="shared" si="7"/>
        <v>PIX - 67992629536</v>
      </c>
    </row>
    <row r="34" spans="2:8" ht="15.75" x14ac:dyDescent="0.25">
      <c r="B34" s="25" t="s">
        <v>114</v>
      </c>
      <c r="C34" s="26">
        <f t="shared" si="2"/>
        <v>1234.5999999999999</v>
      </c>
      <c r="D34" s="27">
        <f t="shared" si="3"/>
        <v>115</v>
      </c>
      <c r="E34" s="26" t="str">
        <f t="shared" si="4"/>
        <v>Dispensada 30/07</v>
      </c>
      <c r="F34" s="26">
        <f t="shared" si="5"/>
        <v>0</v>
      </c>
      <c r="G34" s="28">
        <f t="shared" si="6"/>
        <v>1349.6</v>
      </c>
      <c r="H34" s="25" t="str">
        <f t="shared" si="7"/>
        <v>PIX - 03714283196</v>
      </c>
    </row>
    <row r="35" spans="2:8" ht="15.75" x14ac:dyDescent="0.25">
      <c r="B35" s="25" t="s">
        <v>205</v>
      </c>
      <c r="C35" s="26">
        <f t="shared" si="2"/>
        <v>2140</v>
      </c>
      <c r="D35" s="27">
        <f t="shared" si="3"/>
        <v>0</v>
      </c>
      <c r="E35" s="26">
        <f t="shared" si="4"/>
        <v>0</v>
      </c>
      <c r="F35" s="26">
        <f t="shared" si="5"/>
        <v>0</v>
      </c>
      <c r="G35" s="28">
        <f t="shared" si="6"/>
        <v>2140</v>
      </c>
      <c r="H35" s="25" t="str">
        <f t="shared" si="7"/>
        <v>PIX - 083.615.361-83</v>
      </c>
    </row>
    <row r="36" spans="2:8" ht="15.75" x14ac:dyDescent="0.25">
      <c r="B36" s="25" t="s">
        <v>125</v>
      </c>
      <c r="C36" s="26">
        <f t="shared" si="2"/>
        <v>3980.4</v>
      </c>
      <c r="D36" s="27">
        <f t="shared" ref="D36:D39" si="8">E15</f>
        <v>0</v>
      </c>
      <c r="E36" s="26">
        <f t="shared" ref="E36:E39" si="9">K15</f>
        <v>0</v>
      </c>
      <c r="F36" s="26">
        <f t="shared" ref="F36:F39" si="10">L15</f>
        <v>0</v>
      </c>
      <c r="G36" s="28">
        <f t="shared" si="6"/>
        <v>3980.4</v>
      </c>
      <c r="H36" s="25" t="str">
        <f t="shared" si="7"/>
        <v>PIX 67 999435011</v>
      </c>
    </row>
    <row r="37" spans="2:8" ht="15.75" x14ac:dyDescent="0.25">
      <c r="B37" s="25" t="s">
        <v>15</v>
      </c>
      <c r="C37" s="26">
        <f t="shared" si="2"/>
        <v>2193.4499999999998</v>
      </c>
      <c r="D37" s="27">
        <f t="shared" si="8"/>
        <v>0</v>
      </c>
      <c r="E37" s="26">
        <f t="shared" si="9"/>
        <v>257.39999999999998</v>
      </c>
      <c r="F37" s="26">
        <f t="shared" si="10"/>
        <v>207.9</v>
      </c>
      <c r="G37" s="28">
        <f t="shared" si="6"/>
        <v>2658.75</v>
      </c>
      <c r="H37" s="25" t="str">
        <f t="shared" si="7"/>
        <v>PIX - 055.126.271-04</v>
      </c>
    </row>
    <row r="38" spans="2:8" ht="15.75" x14ac:dyDescent="0.25">
      <c r="B38" s="25" t="s">
        <v>17</v>
      </c>
      <c r="C38" s="26">
        <f t="shared" si="2"/>
        <v>1361.01</v>
      </c>
      <c r="D38" s="27">
        <f t="shared" si="8"/>
        <v>0</v>
      </c>
      <c r="E38" s="26">
        <f t="shared" si="9"/>
        <v>257.39999999999998</v>
      </c>
      <c r="F38" s="26">
        <f t="shared" si="10"/>
        <v>207.9</v>
      </c>
      <c r="G38" s="28">
        <f t="shared" si="6"/>
        <v>1826.31</v>
      </c>
      <c r="H38" s="25" t="str">
        <f t="shared" si="7"/>
        <v>PIX - 67982014318</v>
      </c>
    </row>
    <row r="39" spans="2:8" ht="15.75" x14ac:dyDescent="0.25">
      <c r="B39" s="25" t="s">
        <v>177</v>
      </c>
      <c r="C39" s="26">
        <f t="shared" si="2"/>
        <v>609.75</v>
      </c>
      <c r="D39" s="27">
        <f t="shared" si="8"/>
        <v>0</v>
      </c>
      <c r="E39" s="26" t="str">
        <f t="shared" si="9"/>
        <v xml:space="preserve">Cartão </v>
      </c>
      <c r="F39" s="26">
        <f t="shared" si="10"/>
        <v>207.9</v>
      </c>
      <c r="G39" s="28">
        <f t="shared" si="6"/>
        <v>817.65</v>
      </c>
      <c r="H39" s="25" t="str">
        <f t="shared" si="7"/>
        <v>f9ff138a-5125-4df1-b82f-3bb719168381</v>
      </c>
    </row>
    <row r="40" spans="2:8" ht="15.75" x14ac:dyDescent="0.25">
      <c r="B40" s="29" t="s">
        <v>9</v>
      </c>
      <c r="C40" s="30">
        <f>SUM(C24:C39)</f>
        <v>21335.59</v>
      </c>
      <c r="D40" s="30">
        <f>SUM(D24:D39)</f>
        <v>345</v>
      </c>
      <c r="E40" s="30">
        <f>SUM(E24:E39)</f>
        <v>1544.4</v>
      </c>
      <c r="F40" s="30">
        <f>SUM(F24:F39)</f>
        <v>1871.1000000000004</v>
      </c>
      <c r="G40" s="30">
        <f>SUM(G24:G39)</f>
        <v>25096.090000000004</v>
      </c>
      <c r="H40" s="29"/>
    </row>
    <row r="42" spans="2:8" ht="15.75" x14ac:dyDescent="0.25">
      <c r="B42" s="25" t="s">
        <v>175</v>
      </c>
    </row>
    <row r="43" spans="2:8" ht="15.75" x14ac:dyDescent="0.25">
      <c r="B43" s="25" t="s">
        <v>188</v>
      </c>
    </row>
    <row r="44" spans="2:8" x14ac:dyDescent="0.25">
      <c r="B44" t="s">
        <v>186</v>
      </c>
    </row>
    <row r="45" spans="2:8" x14ac:dyDescent="0.25">
      <c r="B45" t="s">
        <v>189</v>
      </c>
    </row>
    <row r="46" spans="2:8" x14ac:dyDescent="0.25">
      <c r="B46" t="s">
        <v>190</v>
      </c>
    </row>
    <row r="47" spans="2:8" x14ac:dyDescent="0.25">
      <c r="B47" t="s">
        <v>207</v>
      </c>
    </row>
    <row r="48" spans="2:8" x14ac:dyDescent="0.25">
      <c r="B48" t="s">
        <v>204</v>
      </c>
    </row>
  </sheetData>
  <sortState xmlns:xlrd2="http://schemas.microsoft.com/office/spreadsheetml/2017/richdata2" ref="B3:Q18">
    <sortCondition ref="B3:B18"/>
  </sortState>
  <mergeCells count="2">
    <mergeCell ref="B22:H22"/>
    <mergeCell ref="B1:M1"/>
  </mergeCells>
  <pageMargins left="0.511811024" right="0.511811024" top="0.78740157499999996" bottom="0.78740157499999996" header="0.31496062000000002" footer="0.31496062000000002"/>
  <pageSetup paperSize="9" scale="55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C9D0-7C9D-4D7C-89D0-05E7E6A554B4}">
  <sheetPr>
    <pageSetUpPr fitToPage="1"/>
  </sheetPr>
  <dimension ref="A1:L88"/>
  <sheetViews>
    <sheetView tabSelected="1" topLeftCell="E1" zoomScale="70" zoomScaleNormal="70" workbookViewId="0">
      <selection activeCell="I9" sqref="I9"/>
    </sheetView>
  </sheetViews>
  <sheetFormatPr defaultRowHeight="15" x14ac:dyDescent="0.25"/>
  <cols>
    <col min="2" max="2" width="56.42578125" customWidth="1"/>
    <col min="3" max="4" width="22.7109375" bestFit="1" customWidth="1"/>
    <col min="5" max="5" width="15.42578125" bestFit="1" customWidth="1"/>
    <col min="6" max="6" width="20.85546875" bestFit="1" customWidth="1"/>
    <col min="7" max="7" width="23.28515625" bestFit="1" customWidth="1"/>
    <col min="8" max="8" width="20.42578125" customWidth="1"/>
    <col min="9" max="9" width="43.140625" customWidth="1"/>
    <col min="10" max="10" width="16.140625" customWidth="1"/>
    <col min="11" max="11" width="20.85546875" bestFit="1" customWidth="1"/>
    <col min="12" max="12" width="23.28515625" bestFit="1" customWidth="1"/>
  </cols>
  <sheetData>
    <row r="1" spans="1:12" ht="15.75" x14ac:dyDescent="0.25">
      <c r="B1" s="133" t="s">
        <v>103</v>
      </c>
      <c r="C1" s="134"/>
      <c r="D1" s="134"/>
      <c r="E1" s="134"/>
      <c r="F1" s="134"/>
      <c r="G1" s="134"/>
      <c r="H1" s="134"/>
      <c r="I1" s="134"/>
      <c r="J1" s="134"/>
      <c r="K1" s="134"/>
      <c r="L1" s="135"/>
    </row>
    <row r="2" spans="1:12" ht="15.75" x14ac:dyDescent="0.25">
      <c r="B2" s="6" t="s">
        <v>0</v>
      </c>
      <c r="C2" s="6" t="s">
        <v>1</v>
      </c>
      <c r="D2" s="31" t="s">
        <v>2</v>
      </c>
      <c r="E2" s="31" t="s">
        <v>25</v>
      </c>
      <c r="F2" s="3" t="s">
        <v>26</v>
      </c>
      <c r="G2" s="32" t="s">
        <v>119</v>
      </c>
      <c r="H2" s="6" t="s">
        <v>6</v>
      </c>
      <c r="I2" s="33" t="s">
        <v>7</v>
      </c>
      <c r="J2" s="34" t="s">
        <v>139</v>
      </c>
      <c r="K2" s="6" t="s">
        <v>8</v>
      </c>
      <c r="L2" s="6" t="s">
        <v>9</v>
      </c>
    </row>
    <row r="3" spans="1:12" ht="15.75" x14ac:dyDescent="0.25">
      <c r="A3" s="125">
        <v>46189</v>
      </c>
      <c r="B3" s="16" t="s">
        <v>160</v>
      </c>
      <c r="C3" s="43">
        <v>1669</v>
      </c>
      <c r="D3" s="36">
        <v>1292.97</v>
      </c>
      <c r="E3" s="35"/>
      <c r="F3" s="37"/>
      <c r="G3" s="37"/>
      <c r="H3" s="8">
        <f>SUM(D3:G3)</f>
        <v>1292.97</v>
      </c>
      <c r="I3" s="41" t="s">
        <v>161</v>
      </c>
      <c r="J3" s="37" t="s">
        <v>137</v>
      </c>
      <c r="K3" s="37">
        <v>207.9</v>
      </c>
      <c r="L3" s="19">
        <f>SUM(H3:K3)</f>
        <v>1500.8700000000001</v>
      </c>
    </row>
    <row r="4" spans="1:12" ht="15.75" x14ac:dyDescent="0.25">
      <c r="A4" s="125">
        <v>46061</v>
      </c>
      <c r="B4" s="128" t="s">
        <v>27</v>
      </c>
      <c r="C4" s="39">
        <v>2026</v>
      </c>
      <c r="D4" s="36">
        <v>1577.19</v>
      </c>
      <c r="E4" s="35"/>
      <c r="F4" s="37"/>
      <c r="G4" s="37"/>
      <c r="H4" s="8">
        <f t="shared" ref="H4:H36" si="0">SUM(D4:G4)</f>
        <v>1577.19</v>
      </c>
      <c r="I4" s="38" t="s">
        <v>28</v>
      </c>
      <c r="J4" s="115" t="s">
        <v>137</v>
      </c>
      <c r="K4" s="37">
        <v>207.9</v>
      </c>
      <c r="L4" s="19">
        <f t="shared" ref="L4:L36" si="1">SUM(H4:K4)</f>
        <v>1785.0900000000001</v>
      </c>
    </row>
    <row r="5" spans="1:12" ht="15.75" x14ac:dyDescent="0.25">
      <c r="A5" s="125">
        <v>46212</v>
      </c>
      <c r="B5" s="95" t="s">
        <v>29</v>
      </c>
      <c r="C5" s="35">
        <v>3336.4</v>
      </c>
      <c r="D5" s="36">
        <v>4605.45</v>
      </c>
      <c r="E5" s="35"/>
      <c r="F5" s="37"/>
      <c r="G5" s="37"/>
      <c r="H5" s="8">
        <f t="shared" si="0"/>
        <v>4605.45</v>
      </c>
      <c r="I5" s="41" t="s">
        <v>30</v>
      </c>
      <c r="J5" s="104">
        <v>257.39999999999998</v>
      </c>
      <c r="K5" s="105">
        <v>242.6</v>
      </c>
      <c r="L5" s="19">
        <f t="shared" si="1"/>
        <v>5105.45</v>
      </c>
    </row>
    <row r="6" spans="1:12" ht="15.75" x14ac:dyDescent="0.25">
      <c r="A6" s="125">
        <v>46195</v>
      </c>
      <c r="B6" s="16" t="s">
        <v>146</v>
      </c>
      <c r="C6" s="43">
        <v>1669</v>
      </c>
      <c r="D6" s="36">
        <v>1347.23</v>
      </c>
      <c r="E6" s="35"/>
      <c r="F6" s="37"/>
      <c r="G6" s="37"/>
      <c r="H6" s="8">
        <f t="shared" si="0"/>
        <v>1347.23</v>
      </c>
      <c r="I6" s="41" t="s">
        <v>156</v>
      </c>
      <c r="J6" s="40" t="s">
        <v>197</v>
      </c>
      <c r="K6" s="42"/>
      <c r="L6" s="19">
        <f t="shared" si="1"/>
        <v>1347.23</v>
      </c>
    </row>
    <row r="7" spans="1:12" ht="15.75" x14ac:dyDescent="0.25">
      <c r="A7" s="125">
        <v>46078</v>
      </c>
      <c r="B7" s="95" t="s">
        <v>108</v>
      </c>
      <c r="C7" s="43">
        <v>3058.8</v>
      </c>
      <c r="D7" s="36">
        <v>2421.08</v>
      </c>
      <c r="E7" s="35"/>
      <c r="F7" s="37">
        <v>502.4</v>
      </c>
      <c r="G7" s="37"/>
      <c r="H7" s="8">
        <f t="shared" si="0"/>
        <v>2923.48</v>
      </c>
      <c r="I7" s="41" t="s">
        <v>109</v>
      </c>
      <c r="J7" s="104">
        <v>257.39999999999998</v>
      </c>
      <c r="K7" s="105">
        <v>42.6</v>
      </c>
      <c r="L7" s="19">
        <f t="shared" si="1"/>
        <v>3223.48</v>
      </c>
    </row>
    <row r="8" spans="1:12" ht="15.75" x14ac:dyDescent="0.25">
      <c r="A8" s="125">
        <v>46278</v>
      </c>
      <c r="B8" s="16" t="s">
        <v>115</v>
      </c>
      <c r="C8" s="43">
        <v>1669</v>
      </c>
      <c r="D8" s="36">
        <v>1792.97</v>
      </c>
      <c r="E8" s="35"/>
      <c r="F8" s="37"/>
      <c r="G8" s="37"/>
      <c r="H8" s="8">
        <f t="shared" si="0"/>
        <v>1792.97</v>
      </c>
      <c r="I8" s="41" t="s">
        <v>141</v>
      </c>
      <c r="J8" s="40">
        <v>257.39999999999998</v>
      </c>
      <c r="K8" s="42">
        <v>207.9</v>
      </c>
      <c r="L8" s="19">
        <f t="shared" si="1"/>
        <v>2258.27</v>
      </c>
    </row>
    <row r="9" spans="1:12" ht="15.75" x14ac:dyDescent="0.25">
      <c r="A9" s="125">
        <v>46107</v>
      </c>
      <c r="B9" s="16" t="s">
        <v>31</v>
      </c>
      <c r="C9" s="39">
        <v>2026</v>
      </c>
      <c r="D9" s="36">
        <v>1896.42</v>
      </c>
      <c r="E9" s="35"/>
      <c r="F9" s="37"/>
      <c r="G9" s="37"/>
      <c r="H9" s="8">
        <f t="shared" si="0"/>
        <v>1896.42</v>
      </c>
      <c r="I9" s="41" t="s">
        <v>208</v>
      </c>
      <c r="J9" s="40">
        <v>257.39999999999998</v>
      </c>
      <c r="K9" s="42">
        <v>207.9</v>
      </c>
      <c r="L9" s="19">
        <f t="shared" si="1"/>
        <v>2361.7200000000003</v>
      </c>
    </row>
    <row r="10" spans="1:12" ht="15.75" x14ac:dyDescent="0.25">
      <c r="A10" s="125">
        <v>46292</v>
      </c>
      <c r="B10" s="96" t="s">
        <v>32</v>
      </c>
      <c r="C10" s="43">
        <v>2026</v>
      </c>
      <c r="D10" s="36">
        <v>1246.42</v>
      </c>
      <c r="E10" s="35"/>
      <c r="F10" s="37"/>
      <c r="G10" s="37"/>
      <c r="H10" s="8">
        <f t="shared" si="0"/>
        <v>1246.42</v>
      </c>
      <c r="I10" s="41" t="s">
        <v>33</v>
      </c>
      <c r="J10" s="40">
        <v>257.39999999999998</v>
      </c>
      <c r="K10" s="45">
        <v>207.9</v>
      </c>
      <c r="L10" s="19">
        <f t="shared" si="1"/>
        <v>1711.7200000000003</v>
      </c>
    </row>
    <row r="11" spans="1:12" ht="15.75" x14ac:dyDescent="0.25">
      <c r="A11" s="125">
        <v>46037</v>
      </c>
      <c r="B11" s="96" t="s">
        <v>34</v>
      </c>
      <c r="C11" s="43">
        <v>3000</v>
      </c>
      <c r="D11" s="36">
        <v>2751.42</v>
      </c>
      <c r="E11" s="35"/>
      <c r="F11" s="37"/>
      <c r="G11" s="37"/>
      <c r="H11" s="8">
        <f t="shared" si="0"/>
        <v>2751.42</v>
      </c>
      <c r="I11" s="41" t="s">
        <v>35</v>
      </c>
      <c r="J11" s="105">
        <v>257.39999999999998</v>
      </c>
      <c r="K11" s="105">
        <v>242.6</v>
      </c>
      <c r="L11" s="19">
        <f t="shared" si="1"/>
        <v>3251.42</v>
      </c>
    </row>
    <row r="12" spans="1:12" ht="15.75" x14ac:dyDescent="0.25">
      <c r="A12" s="125">
        <v>46297</v>
      </c>
      <c r="B12" s="16" t="s">
        <v>36</v>
      </c>
      <c r="C12" s="43">
        <v>2276</v>
      </c>
      <c r="D12" s="36">
        <v>1473.92</v>
      </c>
      <c r="E12" s="35"/>
      <c r="F12" s="37"/>
      <c r="G12" s="37"/>
      <c r="H12" s="8">
        <f t="shared" si="0"/>
        <v>1473.92</v>
      </c>
      <c r="I12" s="41" t="s">
        <v>37</v>
      </c>
      <c r="J12" s="40">
        <v>257.39999999999998</v>
      </c>
      <c r="K12" s="42">
        <v>207.9</v>
      </c>
      <c r="L12" s="19">
        <f t="shared" si="1"/>
        <v>1939.2200000000003</v>
      </c>
    </row>
    <row r="13" spans="1:12" ht="15.75" x14ac:dyDescent="0.25">
      <c r="A13" s="125">
        <v>46049</v>
      </c>
      <c r="B13" s="16" t="s">
        <v>38</v>
      </c>
      <c r="C13" s="43">
        <v>2026</v>
      </c>
      <c r="D13" s="36">
        <v>1746.42</v>
      </c>
      <c r="E13" s="35"/>
      <c r="F13" s="37"/>
      <c r="G13" s="37"/>
      <c r="H13" s="8">
        <f t="shared" si="0"/>
        <v>1746.42</v>
      </c>
      <c r="I13" s="41" t="s">
        <v>39</v>
      </c>
      <c r="J13" s="40">
        <v>257.39999999999998</v>
      </c>
      <c r="K13" s="45">
        <v>207.9</v>
      </c>
      <c r="L13" s="19">
        <f t="shared" si="1"/>
        <v>2211.7200000000003</v>
      </c>
    </row>
    <row r="14" spans="1:12" ht="15.75" x14ac:dyDescent="0.25">
      <c r="A14" s="125">
        <v>46067</v>
      </c>
      <c r="B14" s="16" t="s">
        <v>62</v>
      </c>
      <c r="C14" s="43">
        <v>7000</v>
      </c>
      <c r="D14" s="36">
        <v>7000</v>
      </c>
      <c r="E14" s="35"/>
      <c r="F14" s="37"/>
      <c r="G14" s="63">
        <v>-250</v>
      </c>
      <c r="H14" s="8">
        <f t="shared" si="0"/>
        <v>6750</v>
      </c>
      <c r="I14" s="47" t="s">
        <v>40</v>
      </c>
      <c r="J14" s="122"/>
      <c r="K14" s="123"/>
      <c r="L14" s="19">
        <f t="shared" si="1"/>
        <v>6750</v>
      </c>
    </row>
    <row r="15" spans="1:12" ht="15.75" x14ac:dyDescent="0.25">
      <c r="A15" s="125">
        <v>46181</v>
      </c>
      <c r="B15" s="16" t="s">
        <v>41</v>
      </c>
      <c r="C15" s="43">
        <v>2226</v>
      </c>
      <c r="D15" s="36">
        <v>1916.42</v>
      </c>
      <c r="E15" s="35"/>
      <c r="F15" s="37"/>
      <c r="G15" s="37"/>
      <c r="H15" s="8">
        <f t="shared" si="0"/>
        <v>1916.42</v>
      </c>
      <c r="I15" s="41" t="s">
        <v>42</v>
      </c>
      <c r="J15" s="40" t="s">
        <v>137</v>
      </c>
      <c r="K15" s="42">
        <v>207.9</v>
      </c>
      <c r="L15" s="19">
        <f t="shared" si="1"/>
        <v>2124.3200000000002</v>
      </c>
    </row>
    <row r="16" spans="1:12" ht="15.75" x14ac:dyDescent="0.25">
      <c r="A16" s="125">
        <v>46377</v>
      </c>
      <c r="B16" s="16" t="s">
        <v>157</v>
      </c>
      <c r="C16" s="43">
        <v>800</v>
      </c>
      <c r="D16" s="36">
        <v>773.33</v>
      </c>
      <c r="E16" s="35"/>
      <c r="F16" s="37"/>
      <c r="G16" s="37"/>
      <c r="H16" s="8">
        <f t="shared" si="0"/>
        <v>773.33</v>
      </c>
      <c r="I16" s="41" t="s">
        <v>158</v>
      </c>
      <c r="J16" s="44" t="s">
        <v>137</v>
      </c>
      <c r="K16" s="45"/>
      <c r="L16" s="19">
        <f t="shared" si="1"/>
        <v>773.33</v>
      </c>
    </row>
    <row r="17" spans="1:12" ht="15.75" x14ac:dyDescent="0.25">
      <c r="A17" s="125">
        <v>46120</v>
      </c>
      <c r="B17" s="16" t="s">
        <v>127</v>
      </c>
      <c r="C17" s="43">
        <v>3000</v>
      </c>
      <c r="D17" s="36">
        <v>3000</v>
      </c>
      <c r="E17" s="35"/>
      <c r="F17" s="37"/>
      <c r="G17" s="37"/>
      <c r="H17" s="8">
        <f t="shared" si="0"/>
        <v>3000</v>
      </c>
      <c r="I17" s="41" t="s">
        <v>126</v>
      </c>
      <c r="J17" s="44">
        <v>257.39999999999998</v>
      </c>
      <c r="K17" s="45">
        <v>207.9</v>
      </c>
      <c r="L17" s="19">
        <f t="shared" si="1"/>
        <v>3465.3</v>
      </c>
    </row>
    <row r="18" spans="1:12" ht="15.75" x14ac:dyDescent="0.25">
      <c r="A18" s="125">
        <v>46294</v>
      </c>
      <c r="B18" s="16" t="s">
        <v>131</v>
      </c>
      <c r="C18" s="43">
        <v>1736.54</v>
      </c>
      <c r="D18" s="36">
        <v>818.3</v>
      </c>
      <c r="E18" s="35"/>
      <c r="F18" s="37"/>
      <c r="G18" s="37"/>
      <c r="H18" s="8">
        <f t="shared" si="0"/>
        <v>818.3</v>
      </c>
      <c r="I18" s="41" t="s">
        <v>124</v>
      </c>
      <c r="J18" s="40" t="s">
        <v>138</v>
      </c>
      <c r="K18" s="42">
        <v>207.9</v>
      </c>
      <c r="L18" s="19">
        <f t="shared" si="1"/>
        <v>1026.2</v>
      </c>
    </row>
    <row r="19" spans="1:12" ht="15.75" x14ac:dyDescent="0.25">
      <c r="A19" s="125">
        <v>46252</v>
      </c>
      <c r="B19" s="16" t="s">
        <v>43</v>
      </c>
      <c r="C19" s="43">
        <v>3200</v>
      </c>
      <c r="D19" s="36">
        <v>2235.42</v>
      </c>
      <c r="E19" s="35"/>
      <c r="F19" s="37"/>
      <c r="G19" s="37"/>
      <c r="H19" s="8">
        <f t="shared" si="0"/>
        <v>2235.42</v>
      </c>
      <c r="I19" s="41" t="s">
        <v>44</v>
      </c>
      <c r="J19" s="44">
        <v>257.39999999999998</v>
      </c>
      <c r="K19" s="45">
        <v>207.9</v>
      </c>
      <c r="L19" s="19">
        <f t="shared" si="1"/>
        <v>2700.7200000000003</v>
      </c>
    </row>
    <row r="20" spans="1:12" ht="15.75" x14ac:dyDescent="0.25">
      <c r="A20" s="125">
        <v>46131</v>
      </c>
      <c r="B20" s="16" t="s">
        <v>178</v>
      </c>
      <c r="C20" s="43">
        <v>1669</v>
      </c>
      <c r="D20" s="36">
        <v>291.86</v>
      </c>
      <c r="E20" s="35"/>
      <c r="F20" s="37"/>
      <c r="G20" s="37"/>
      <c r="H20" s="8">
        <f t="shared" si="0"/>
        <v>291.86</v>
      </c>
      <c r="I20" s="41" t="s">
        <v>187</v>
      </c>
      <c r="J20" s="44">
        <v>257.39999999999998</v>
      </c>
      <c r="K20" s="45">
        <v>207.9</v>
      </c>
      <c r="L20" s="19">
        <f t="shared" si="1"/>
        <v>757.16</v>
      </c>
    </row>
    <row r="21" spans="1:12" ht="15.75" x14ac:dyDescent="0.25">
      <c r="A21" s="125">
        <v>46143</v>
      </c>
      <c r="B21" s="16" t="s">
        <v>61</v>
      </c>
      <c r="C21" s="43">
        <v>6517.86</v>
      </c>
      <c r="D21" s="36">
        <v>6517.86</v>
      </c>
      <c r="E21" s="35"/>
      <c r="F21" s="37"/>
      <c r="G21" s="37"/>
      <c r="H21" s="8">
        <f t="shared" si="0"/>
        <v>6517.86</v>
      </c>
      <c r="I21" s="46" t="s">
        <v>45</v>
      </c>
      <c r="J21" s="106"/>
      <c r="K21" s="107"/>
      <c r="L21" s="19">
        <f t="shared" si="1"/>
        <v>6517.86</v>
      </c>
    </row>
    <row r="22" spans="1:12" ht="15.75" x14ac:dyDescent="0.25">
      <c r="A22" s="125">
        <v>46157</v>
      </c>
      <c r="B22" s="97" t="s">
        <v>159</v>
      </c>
      <c r="C22" s="39">
        <v>2026</v>
      </c>
      <c r="D22" s="36">
        <v>2096.42</v>
      </c>
      <c r="E22" s="35"/>
      <c r="F22" s="37"/>
      <c r="G22" s="37"/>
      <c r="H22" s="8">
        <f t="shared" si="0"/>
        <v>2096.42</v>
      </c>
      <c r="I22" s="41" t="s">
        <v>46</v>
      </c>
      <c r="J22" s="44">
        <v>257.39999999999998</v>
      </c>
      <c r="K22" s="45">
        <v>207.9</v>
      </c>
      <c r="L22" s="19">
        <f t="shared" si="1"/>
        <v>2561.7200000000003</v>
      </c>
    </row>
    <row r="23" spans="1:12" ht="15.75" x14ac:dyDescent="0.25">
      <c r="A23" s="125">
        <v>46230</v>
      </c>
      <c r="B23" s="16" t="s">
        <v>64</v>
      </c>
      <c r="C23" s="48">
        <v>2026</v>
      </c>
      <c r="D23" s="36">
        <v>0</v>
      </c>
      <c r="E23" s="35"/>
      <c r="F23" s="37"/>
      <c r="G23" s="37"/>
      <c r="H23" s="8">
        <f t="shared" si="0"/>
        <v>0</v>
      </c>
      <c r="I23" s="46" t="s">
        <v>47</v>
      </c>
      <c r="J23" s="120"/>
      <c r="K23" s="121"/>
      <c r="L23" s="19">
        <f t="shared" si="1"/>
        <v>0</v>
      </c>
    </row>
    <row r="24" spans="1:12" ht="15.75" x14ac:dyDescent="0.25">
      <c r="A24" s="125">
        <v>46059</v>
      </c>
      <c r="B24" s="16" t="s">
        <v>164</v>
      </c>
      <c r="C24" s="48">
        <v>1669</v>
      </c>
      <c r="D24" s="36">
        <v>1147.23</v>
      </c>
      <c r="E24" s="35"/>
      <c r="F24" s="37"/>
      <c r="G24" s="37"/>
      <c r="H24" s="8">
        <f t="shared" si="0"/>
        <v>1147.23</v>
      </c>
      <c r="I24" s="46" t="s">
        <v>166</v>
      </c>
      <c r="J24" s="44" t="s">
        <v>137</v>
      </c>
      <c r="K24" s="45">
        <v>207.9</v>
      </c>
      <c r="L24" s="19">
        <f t="shared" si="1"/>
        <v>1355.13</v>
      </c>
    </row>
    <row r="25" spans="1:12" ht="15.75" x14ac:dyDescent="0.25">
      <c r="A25" s="125">
        <v>46337</v>
      </c>
      <c r="B25" s="16" t="s">
        <v>147</v>
      </c>
      <c r="C25" s="43">
        <v>3000</v>
      </c>
      <c r="D25" s="36">
        <v>2571.42</v>
      </c>
      <c r="E25" s="35"/>
      <c r="F25" s="37"/>
      <c r="G25" s="37"/>
      <c r="H25" s="8">
        <f t="shared" si="0"/>
        <v>2571.42</v>
      </c>
      <c r="I25" s="41" t="s">
        <v>153</v>
      </c>
      <c r="J25" s="44">
        <v>257.39999999999998</v>
      </c>
      <c r="K25" s="45">
        <v>207.9</v>
      </c>
      <c r="L25" s="19">
        <f t="shared" si="1"/>
        <v>3036.7200000000003</v>
      </c>
    </row>
    <row r="26" spans="1:12" ht="15.75" x14ac:dyDescent="0.25">
      <c r="A26" s="125">
        <v>46222</v>
      </c>
      <c r="B26" s="16" t="s">
        <v>152</v>
      </c>
      <c r="C26" s="43">
        <v>1669</v>
      </c>
      <c r="D26" s="36">
        <v>1292.97</v>
      </c>
      <c r="E26" s="35"/>
      <c r="F26" s="37"/>
      <c r="G26" s="37"/>
      <c r="H26" s="8">
        <f t="shared" si="0"/>
        <v>1292.97</v>
      </c>
      <c r="I26" s="41" t="s">
        <v>155</v>
      </c>
      <c r="J26" s="44" t="s">
        <v>137</v>
      </c>
      <c r="K26" s="45">
        <v>207.9</v>
      </c>
      <c r="L26" s="19">
        <f t="shared" si="1"/>
        <v>1500.8700000000001</v>
      </c>
    </row>
    <row r="27" spans="1:12" ht="15.75" x14ac:dyDescent="0.25">
      <c r="A27" s="125">
        <v>46321</v>
      </c>
      <c r="B27" s="16" t="s">
        <v>107</v>
      </c>
      <c r="C27" s="43">
        <v>2500</v>
      </c>
      <c r="D27" s="36">
        <v>4605.45</v>
      </c>
      <c r="E27" s="35"/>
      <c r="F27" s="37"/>
      <c r="G27" s="37"/>
      <c r="H27" s="8">
        <f t="shared" si="0"/>
        <v>4605.45</v>
      </c>
      <c r="I27" s="41" t="s">
        <v>48</v>
      </c>
      <c r="J27" s="104">
        <v>257.39999999999998</v>
      </c>
      <c r="K27" s="105">
        <v>137.15</v>
      </c>
      <c r="L27" s="19">
        <f t="shared" si="1"/>
        <v>4999.9999999999991</v>
      </c>
    </row>
    <row r="28" spans="1:12" ht="15.75" x14ac:dyDescent="0.25">
      <c r="A28" s="125">
        <v>46279</v>
      </c>
      <c r="B28" s="97" t="s">
        <v>49</v>
      </c>
      <c r="C28" s="49">
        <v>2329.6</v>
      </c>
      <c r="D28" s="36"/>
      <c r="E28" s="35"/>
      <c r="F28" s="37"/>
      <c r="G28" s="37"/>
      <c r="H28" s="8">
        <f t="shared" si="0"/>
        <v>0</v>
      </c>
      <c r="I28" s="50" t="s">
        <v>50</v>
      </c>
      <c r="J28" s="118"/>
      <c r="K28" s="119"/>
      <c r="L28" s="19">
        <f t="shared" si="1"/>
        <v>0</v>
      </c>
    </row>
    <row r="29" spans="1:12" ht="15.75" x14ac:dyDescent="0.25">
      <c r="A29" s="125">
        <v>46281</v>
      </c>
      <c r="B29" s="16" t="s">
        <v>51</v>
      </c>
      <c r="C29" s="43">
        <v>2026</v>
      </c>
      <c r="D29" s="36">
        <v>1246.42</v>
      </c>
      <c r="E29" s="35"/>
      <c r="F29" s="37"/>
      <c r="G29" s="37"/>
      <c r="H29" s="8">
        <f t="shared" si="0"/>
        <v>1246.42</v>
      </c>
      <c r="I29" s="41" t="s">
        <v>52</v>
      </c>
      <c r="J29" s="44">
        <v>257.39999999999998</v>
      </c>
      <c r="K29" s="45">
        <v>207.9</v>
      </c>
      <c r="L29" s="19">
        <f t="shared" si="1"/>
        <v>1711.7200000000003</v>
      </c>
    </row>
    <row r="30" spans="1:12" ht="15.75" x14ac:dyDescent="0.25">
      <c r="A30" s="125">
        <v>46128</v>
      </c>
      <c r="B30" s="16" t="s">
        <v>63</v>
      </c>
      <c r="C30" s="43">
        <v>3058.8</v>
      </c>
      <c r="D30" s="36">
        <v>2421.08</v>
      </c>
      <c r="E30" s="35"/>
      <c r="F30" s="37">
        <v>705.7</v>
      </c>
      <c r="G30" s="37"/>
      <c r="H30" s="8">
        <f t="shared" si="0"/>
        <v>3126.7799999999997</v>
      </c>
      <c r="I30" s="41" t="s">
        <v>53</v>
      </c>
      <c r="J30" s="108">
        <v>257.39999999999998</v>
      </c>
      <c r="K30" s="108">
        <v>42.6</v>
      </c>
      <c r="L30" s="19">
        <f t="shared" si="1"/>
        <v>3426.7799999999997</v>
      </c>
    </row>
    <row r="31" spans="1:12" ht="15.75" x14ac:dyDescent="0.25">
      <c r="A31" s="125">
        <v>46289</v>
      </c>
      <c r="B31" s="16" t="s">
        <v>132</v>
      </c>
      <c r="C31" s="43">
        <v>2026</v>
      </c>
      <c r="D31" s="36">
        <v>1746.42</v>
      </c>
      <c r="E31" s="35"/>
      <c r="F31" s="37"/>
      <c r="G31" s="37"/>
      <c r="H31" s="8">
        <f t="shared" si="0"/>
        <v>1746.42</v>
      </c>
      <c r="I31" s="38" t="s">
        <v>54</v>
      </c>
      <c r="J31" s="44">
        <v>89.1</v>
      </c>
      <c r="K31" s="45">
        <v>59.4</v>
      </c>
      <c r="L31" s="19">
        <f t="shared" si="1"/>
        <v>1894.92</v>
      </c>
    </row>
    <row r="32" spans="1:12" ht="15.75" x14ac:dyDescent="0.25">
      <c r="A32" s="125">
        <v>46069</v>
      </c>
      <c r="B32" s="16" t="s">
        <v>182</v>
      </c>
      <c r="C32" s="43">
        <v>1669</v>
      </c>
      <c r="D32" s="36">
        <v>1094.83</v>
      </c>
      <c r="E32" s="35"/>
      <c r="F32" s="37"/>
      <c r="G32" s="37"/>
      <c r="H32" s="8">
        <f t="shared" si="0"/>
        <v>1094.83</v>
      </c>
      <c r="I32" s="38" t="s">
        <v>183</v>
      </c>
      <c r="J32" s="44">
        <v>257.39999999999998</v>
      </c>
      <c r="K32" s="45">
        <v>207.9</v>
      </c>
      <c r="L32" s="19">
        <f t="shared" si="1"/>
        <v>1560.13</v>
      </c>
    </row>
    <row r="33" spans="1:12" ht="15.75" x14ac:dyDescent="0.25">
      <c r="A33" s="125">
        <v>46027</v>
      </c>
      <c r="B33" s="16" t="s">
        <v>200</v>
      </c>
      <c r="C33" s="43">
        <v>2000</v>
      </c>
      <c r="D33" s="36"/>
      <c r="E33" s="35"/>
      <c r="F33" s="37"/>
      <c r="G33" s="37"/>
      <c r="H33" s="8">
        <f t="shared" si="0"/>
        <v>0</v>
      </c>
      <c r="I33" s="38" t="s">
        <v>201</v>
      </c>
      <c r="J33" s="44">
        <v>306.89999999999998</v>
      </c>
      <c r="K33" s="45">
        <v>247.5</v>
      </c>
      <c r="L33" s="19">
        <f t="shared" si="1"/>
        <v>554.4</v>
      </c>
    </row>
    <row r="34" spans="1:12" ht="15.75" x14ac:dyDescent="0.25">
      <c r="A34" s="125">
        <v>46089</v>
      </c>
      <c r="B34" s="16" t="s">
        <v>55</v>
      </c>
      <c r="C34" s="35">
        <v>2026</v>
      </c>
      <c r="D34" s="36">
        <v>1456.17</v>
      </c>
      <c r="E34" s="35"/>
      <c r="F34" s="37"/>
      <c r="G34" s="37"/>
      <c r="H34" s="8">
        <f t="shared" si="0"/>
        <v>1456.17</v>
      </c>
      <c r="I34" s="41" t="s">
        <v>56</v>
      </c>
      <c r="J34" s="44">
        <v>257.39999999999998</v>
      </c>
      <c r="K34" s="45">
        <v>207.9</v>
      </c>
      <c r="L34" s="19">
        <f t="shared" si="1"/>
        <v>1921.4700000000003</v>
      </c>
    </row>
    <row r="35" spans="1:12" ht="15.75" x14ac:dyDescent="0.25">
      <c r="A35" s="125">
        <v>46255</v>
      </c>
      <c r="B35" s="16" t="s">
        <v>167</v>
      </c>
      <c r="C35" s="35">
        <v>800</v>
      </c>
      <c r="D35" s="36">
        <v>800</v>
      </c>
      <c r="E35" s="35"/>
      <c r="F35" s="37"/>
      <c r="G35" s="37"/>
      <c r="H35" s="8">
        <f t="shared" si="0"/>
        <v>800</v>
      </c>
      <c r="I35" s="41" t="s">
        <v>168</v>
      </c>
      <c r="J35" s="44" t="s">
        <v>137</v>
      </c>
      <c r="K35" s="45"/>
      <c r="L35" s="19">
        <f t="shared" si="1"/>
        <v>800</v>
      </c>
    </row>
    <row r="36" spans="1:12" ht="15.75" x14ac:dyDescent="0.25">
      <c r="A36" s="125">
        <v>46289</v>
      </c>
      <c r="B36" s="16" t="s">
        <v>112</v>
      </c>
      <c r="C36" s="35">
        <v>1669</v>
      </c>
      <c r="D36" s="36">
        <v>942.97</v>
      </c>
      <c r="E36" s="35"/>
      <c r="F36" s="37"/>
      <c r="G36" s="37"/>
      <c r="H36" s="8">
        <f t="shared" si="0"/>
        <v>942.97</v>
      </c>
      <c r="I36" s="41" t="s">
        <v>123</v>
      </c>
      <c r="J36" s="40" t="s">
        <v>137</v>
      </c>
      <c r="K36" s="42">
        <v>207.9</v>
      </c>
      <c r="L36" s="19">
        <f t="shared" si="1"/>
        <v>1150.8700000000001</v>
      </c>
    </row>
    <row r="37" spans="1:12" ht="15.75" x14ac:dyDescent="0.25">
      <c r="B37" s="22" t="s">
        <v>9</v>
      </c>
      <c r="C37" s="52">
        <f>SUM(C3:C36)</f>
        <v>81426</v>
      </c>
      <c r="D37" s="53">
        <f>SUM(D3:D36)</f>
        <v>66126.06</v>
      </c>
      <c r="E37" s="53">
        <f>SUBTOTAL(9,E3:E36)</f>
        <v>0</v>
      </c>
      <c r="F37" s="23">
        <f>SUM(F3:F36)</f>
        <v>1208.0999999999999</v>
      </c>
      <c r="G37" s="53">
        <f>SUM(G3:G36)</f>
        <v>-250</v>
      </c>
      <c r="H37" s="23">
        <f>SUBTOTAL(9,H3:H36)</f>
        <v>67084.159999999989</v>
      </c>
      <c r="I37" s="54"/>
      <c r="J37" s="55">
        <f>SUM(J3:J36)</f>
        <v>5029.2</v>
      </c>
      <c r="K37" s="23">
        <f>SUBTOTAL(9,K1:K36)</f>
        <v>5172.45</v>
      </c>
      <c r="L37" s="23">
        <f>SUBTOTAL(9,L3:L36)</f>
        <v>77285.81</v>
      </c>
    </row>
    <row r="42" spans="1:12" ht="15.75" x14ac:dyDescent="0.25">
      <c r="B42" s="136" t="s">
        <v>19</v>
      </c>
      <c r="C42" s="136"/>
      <c r="D42" s="136"/>
      <c r="E42" s="136"/>
      <c r="F42" s="136"/>
      <c r="G42" s="136"/>
      <c r="H42" s="136"/>
    </row>
    <row r="43" spans="1:12" x14ac:dyDescent="0.25">
      <c r="B43" s="56" t="s">
        <v>57</v>
      </c>
      <c r="C43" s="56" t="s">
        <v>58</v>
      </c>
      <c r="D43" s="56" t="s">
        <v>59</v>
      </c>
      <c r="E43" s="56" t="s">
        <v>143</v>
      </c>
      <c r="F43" s="56" t="s">
        <v>8</v>
      </c>
      <c r="G43" s="56" t="s">
        <v>23</v>
      </c>
      <c r="H43" s="57" t="s">
        <v>60</v>
      </c>
    </row>
    <row r="44" spans="1:12" ht="15.75" x14ac:dyDescent="0.25">
      <c r="B44" s="16" t="s">
        <v>160</v>
      </c>
      <c r="C44" s="36">
        <f>SUM(D3+F3+G3)</f>
        <v>1292.97</v>
      </c>
      <c r="D44" s="12">
        <f>F3</f>
        <v>0</v>
      </c>
      <c r="E44" s="58" t="str">
        <f>J3</f>
        <v>cartão</v>
      </c>
      <c r="F44" s="58">
        <f>K3</f>
        <v>207.9</v>
      </c>
      <c r="G44" s="59">
        <f>SUM(C44:F44)</f>
        <v>1500.8700000000001</v>
      </c>
      <c r="H44" s="38" t="str">
        <f>I3</f>
        <v xml:space="preserve">PIX - 09091151170 </v>
      </c>
    </row>
    <row r="45" spans="1:12" ht="15.75" x14ac:dyDescent="0.25">
      <c r="B45" s="16" t="s">
        <v>27</v>
      </c>
      <c r="C45" s="36">
        <f t="shared" ref="C45:C77" si="2">SUM(D4+E4+G4)</f>
        <v>1577.19</v>
      </c>
      <c r="D45" s="12">
        <f t="shared" ref="D45:D77" si="3">F4</f>
        <v>0</v>
      </c>
      <c r="E45" s="58" t="str">
        <f t="shared" ref="E45:E77" si="4">J4</f>
        <v>cartão</v>
      </c>
      <c r="F45" s="58">
        <f t="shared" ref="F45:F77" si="5">K4</f>
        <v>207.9</v>
      </c>
      <c r="G45" s="59">
        <f t="shared" ref="G45:G77" si="6">SUM(C45:F45)</f>
        <v>1785.0900000000001</v>
      </c>
      <c r="H45" s="38" t="str">
        <f t="shared" ref="H45:H77" si="7">I4</f>
        <v>PIX - 6799251-4705</v>
      </c>
    </row>
    <row r="46" spans="1:12" ht="15.75" x14ac:dyDescent="0.25">
      <c r="B46" s="16" t="s">
        <v>29</v>
      </c>
      <c r="C46" s="36">
        <f t="shared" si="2"/>
        <v>4605.45</v>
      </c>
      <c r="D46" s="12">
        <f t="shared" si="3"/>
        <v>0</v>
      </c>
      <c r="E46" s="58">
        <f t="shared" si="4"/>
        <v>257.39999999999998</v>
      </c>
      <c r="F46" s="58">
        <f t="shared" si="5"/>
        <v>242.6</v>
      </c>
      <c r="G46" s="59">
        <f t="shared" si="6"/>
        <v>5105.45</v>
      </c>
      <c r="H46" s="38" t="str">
        <f t="shared" si="7"/>
        <v>PIX - 67992262297</v>
      </c>
    </row>
    <row r="47" spans="1:12" ht="15.75" x14ac:dyDescent="0.25">
      <c r="B47" s="16" t="s">
        <v>146</v>
      </c>
      <c r="C47" s="36">
        <f t="shared" si="2"/>
        <v>1347.23</v>
      </c>
      <c r="D47" s="12">
        <f t="shared" si="3"/>
        <v>0</v>
      </c>
      <c r="E47" s="58" t="str">
        <f t="shared" si="4"/>
        <v>Dispensada 03/08</v>
      </c>
      <c r="F47" s="58">
        <f t="shared" si="5"/>
        <v>0</v>
      </c>
      <c r="G47" s="59">
        <f t="shared" si="6"/>
        <v>1347.23</v>
      </c>
      <c r="H47" s="38" t="str">
        <f t="shared" si="7"/>
        <v>PIX - 08355057155</v>
      </c>
    </row>
    <row r="48" spans="1:12" ht="15.75" x14ac:dyDescent="0.25">
      <c r="B48" s="16" t="s">
        <v>108</v>
      </c>
      <c r="C48" s="36">
        <f t="shared" si="2"/>
        <v>2421.08</v>
      </c>
      <c r="D48" s="12">
        <f t="shared" si="3"/>
        <v>502.4</v>
      </c>
      <c r="E48" s="58">
        <f t="shared" si="4"/>
        <v>257.39999999999998</v>
      </c>
      <c r="F48" s="58">
        <f t="shared" si="5"/>
        <v>42.6</v>
      </c>
      <c r="G48" s="59">
        <f t="shared" si="6"/>
        <v>3223.48</v>
      </c>
      <c r="H48" s="38" t="str">
        <f t="shared" si="7"/>
        <v>PIX - 407.607.231-68</v>
      </c>
    </row>
    <row r="49" spans="2:8" ht="15.75" x14ac:dyDescent="0.25">
      <c r="B49" s="16" t="s">
        <v>115</v>
      </c>
      <c r="C49" s="36">
        <f t="shared" si="2"/>
        <v>1792.97</v>
      </c>
      <c r="D49" s="12">
        <f t="shared" si="3"/>
        <v>0</v>
      </c>
      <c r="E49" s="58">
        <f t="shared" si="4"/>
        <v>257.39999999999998</v>
      </c>
      <c r="F49" s="58">
        <f t="shared" si="5"/>
        <v>207.9</v>
      </c>
      <c r="G49" s="59">
        <f t="shared" si="6"/>
        <v>2258.27</v>
      </c>
      <c r="H49" s="38" t="str">
        <f t="shared" si="7"/>
        <v>PIX - 67981165464</v>
      </c>
    </row>
    <row r="50" spans="2:8" ht="15.75" x14ac:dyDescent="0.25">
      <c r="B50" s="16" t="s">
        <v>31</v>
      </c>
      <c r="C50" s="36">
        <f t="shared" si="2"/>
        <v>1896.42</v>
      </c>
      <c r="D50" s="12">
        <f t="shared" si="3"/>
        <v>0</v>
      </c>
      <c r="E50" s="58">
        <f t="shared" si="4"/>
        <v>257.39999999999998</v>
      </c>
      <c r="F50" s="58">
        <f t="shared" si="5"/>
        <v>207.9</v>
      </c>
      <c r="G50" s="59">
        <f t="shared" si="6"/>
        <v>2361.7200000000003</v>
      </c>
      <c r="H50" s="38" t="str">
        <f t="shared" si="7"/>
        <v>PIX - claricebatista003@gmail.com</v>
      </c>
    </row>
    <row r="51" spans="2:8" ht="15.75" x14ac:dyDescent="0.25">
      <c r="B51" s="16" t="s">
        <v>32</v>
      </c>
      <c r="C51" s="36">
        <f t="shared" si="2"/>
        <v>1246.42</v>
      </c>
      <c r="D51" s="12">
        <f t="shared" si="3"/>
        <v>0</v>
      </c>
      <c r="E51" s="58">
        <f t="shared" si="4"/>
        <v>257.39999999999998</v>
      </c>
      <c r="F51" s="58">
        <f t="shared" si="5"/>
        <v>207.9</v>
      </c>
      <c r="G51" s="59">
        <f t="shared" si="6"/>
        <v>1711.7200000000003</v>
      </c>
      <c r="H51" s="38" t="str">
        <f t="shared" si="7"/>
        <v>PIX -  67993183631</v>
      </c>
    </row>
    <row r="52" spans="2:8" ht="15.75" x14ac:dyDescent="0.25">
      <c r="B52" s="16" t="s">
        <v>34</v>
      </c>
      <c r="C52" s="36">
        <f t="shared" si="2"/>
        <v>2751.42</v>
      </c>
      <c r="D52" s="12">
        <f t="shared" si="3"/>
        <v>0</v>
      </c>
      <c r="E52" s="58">
        <f t="shared" si="4"/>
        <v>257.39999999999998</v>
      </c>
      <c r="F52" s="58">
        <f t="shared" si="5"/>
        <v>242.6</v>
      </c>
      <c r="G52" s="59">
        <f t="shared" si="6"/>
        <v>3251.42</v>
      </c>
      <c r="H52" s="38" t="str">
        <f t="shared" si="7"/>
        <v>PIX - 087.993.891-93</v>
      </c>
    </row>
    <row r="53" spans="2:8" ht="15.75" x14ac:dyDescent="0.25">
      <c r="B53" s="16" t="s">
        <v>36</v>
      </c>
      <c r="C53" s="36">
        <f t="shared" si="2"/>
        <v>1473.92</v>
      </c>
      <c r="D53" s="12">
        <f t="shared" si="3"/>
        <v>0</v>
      </c>
      <c r="E53" s="58">
        <f t="shared" si="4"/>
        <v>257.39999999999998</v>
      </c>
      <c r="F53" s="58">
        <f t="shared" si="5"/>
        <v>207.9</v>
      </c>
      <c r="G53" s="59">
        <f t="shared" si="6"/>
        <v>1939.2200000000003</v>
      </c>
      <c r="H53" s="38" t="str">
        <f t="shared" si="7"/>
        <v>PIX - 080.763.811-00</v>
      </c>
    </row>
    <row r="54" spans="2:8" ht="15.75" x14ac:dyDescent="0.25">
      <c r="B54" s="16" t="s">
        <v>38</v>
      </c>
      <c r="C54" s="36">
        <f t="shared" si="2"/>
        <v>1746.42</v>
      </c>
      <c r="D54" s="12">
        <f t="shared" si="3"/>
        <v>0</v>
      </c>
      <c r="E54" s="58">
        <f t="shared" si="4"/>
        <v>257.39999999999998</v>
      </c>
      <c r="F54" s="58">
        <f t="shared" si="5"/>
        <v>207.9</v>
      </c>
      <c r="G54" s="59">
        <f t="shared" si="6"/>
        <v>2211.7200000000003</v>
      </c>
      <c r="H54" s="38" t="str">
        <f t="shared" si="7"/>
        <v xml:space="preserve">PIX - gg085934@gmail.com </v>
      </c>
    </row>
    <row r="55" spans="2:8" ht="15.75" x14ac:dyDescent="0.25">
      <c r="B55" s="16" t="s">
        <v>62</v>
      </c>
      <c r="C55" s="36">
        <f t="shared" si="2"/>
        <v>6750</v>
      </c>
      <c r="D55" s="12">
        <f t="shared" si="3"/>
        <v>0</v>
      </c>
      <c r="E55" s="58">
        <f t="shared" si="4"/>
        <v>0</v>
      </c>
      <c r="F55" s="58">
        <f t="shared" si="5"/>
        <v>0</v>
      </c>
      <c r="G55" s="59">
        <f t="shared" si="6"/>
        <v>6750</v>
      </c>
      <c r="H55" s="38" t="str">
        <f t="shared" si="7"/>
        <v>PIX - 543.922.761-04</v>
      </c>
    </row>
    <row r="56" spans="2:8" ht="15.75" x14ac:dyDescent="0.25">
      <c r="B56" s="16" t="s">
        <v>41</v>
      </c>
      <c r="C56" s="36">
        <f t="shared" si="2"/>
        <v>1916.42</v>
      </c>
      <c r="D56" s="12">
        <f t="shared" si="3"/>
        <v>0</v>
      </c>
      <c r="E56" s="58" t="str">
        <f t="shared" si="4"/>
        <v>cartão</v>
      </c>
      <c r="F56" s="58">
        <f t="shared" si="5"/>
        <v>207.9</v>
      </c>
      <c r="G56" s="59">
        <f t="shared" si="6"/>
        <v>2124.3200000000002</v>
      </c>
      <c r="H56" s="38" t="str">
        <f t="shared" si="7"/>
        <v>PIX - 67991068258</v>
      </c>
    </row>
    <row r="57" spans="2:8" ht="15.75" x14ac:dyDescent="0.25">
      <c r="B57" s="16" t="s">
        <v>157</v>
      </c>
      <c r="C57" s="36">
        <f t="shared" si="2"/>
        <v>773.33</v>
      </c>
      <c r="D57" s="12">
        <f t="shared" si="3"/>
        <v>0</v>
      </c>
      <c r="E57" s="58" t="str">
        <f t="shared" si="4"/>
        <v>cartão</v>
      </c>
      <c r="F57" s="58">
        <f t="shared" si="5"/>
        <v>0</v>
      </c>
      <c r="G57" s="59">
        <f t="shared" si="6"/>
        <v>773.33</v>
      </c>
      <c r="H57" s="38" t="str">
        <f t="shared" si="7"/>
        <v>PIX - 060.350.721-27</v>
      </c>
    </row>
    <row r="58" spans="2:8" ht="15.75" x14ac:dyDescent="0.25">
      <c r="B58" s="16" t="s">
        <v>127</v>
      </c>
      <c r="C58" s="36">
        <f t="shared" si="2"/>
        <v>3000</v>
      </c>
      <c r="D58" s="12">
        <f t="shared" si="3"/>
        <v>0</v>
      </c>
      <c r="E58" s="58">
        <f t="shared" si="4"/>
        <v>257.39999999999998</v>
      </c>
      <c r="F58" s="58">
        <f t="shared" si="5"/>
        <v>207.9</v>
      </c>
      <c r="G58" s="59">
        <f t="shared" si="6"/>
        <v>3465.3</v>
      </c>
      <c r="H58" s="38" t="str">
        <f t="shared" si="7"/>
        <v>PIX - 90252128168</v>
      </c>
    </row>
    <row r="59" spans="2:8" ht="15.75" x14ac:dyDescent="0.25">
      <c r="B59" s="16" t="s">
        <v>131</v>
      </c>
      <c r="C59" s="36">
        <f t="shared" si="2"/>
        <v>818.3</v>
      </c>
      <c r="D59" s="12">
        <f t="shared" si="3"/>
        <v>0</v>
      </c>
      <c r="E59" s="58" t="str">
        <f t="shared" si="4"/>
        <v xml:space="preserve">cartão </v>
      </c>
      <c r="F59" s="58">
        <f t="shared" si="5"/>
        <v>207.9</v>
      </c>
      <c r="G59" s="59">
        <f t="shared" si="6"/>
        <v>1026.2</v>
      </c>
      <c r="H59" s="38" t="str">
        <f t="shared" si="7"/>
        <v>PIX - jeniffereduardaoliveira29@gmail.com</v>
      </c>
    </row>
    <row r="60" spans="2:8" ht="15.75" x14ac:dyDescent="0.25">
      <c r="B60" s="16" t="s">
        <v>43</v>
      </c>
      <c r="C60" s="36">
        <f t="shared" si="2"/>
        <v>2235.42</v>
      </c>
      <c r="D60" s="12">
        <f t="shared" si="3"/>
        <v>0</v>
      </c>
      <c r="E60" s="58">
        <f t="shared" si="4"/>
        <v>257.39999999999998</v>
      </c>
      <c r="F60" s="58">
        <f t="shared" si="5"/>
        <v>207.9</v>
      </c>
      <c r="G60" s="59">
        <f t="shared" si="6"/>
        <v>2700.7200000000003</v>
      </c>
      <c r="H60" s="38" t="str">
        <f t="shared" si="7"/>
        <v>PIX - 067.213.021-10</v>
      </c>
    </row>
    <row r="61" spans="2:8" ht="15.75" x14ac:dyDescent="0.25">
      <c r="B61" s="16" t="s">
        <v>178</v>
      </c>
      <c r="C61" s="36">
        <f t="shared" si="2"/>
        <v>291.86</v>
      </c>
      <c r="D61" s="12">
        <f t="shared" si="3"/>
        <v>0</v>
      </c>
      <c r="E61" s="58">
        <f t="shared" si="4"/>
        <v>257.39999999999998</v>
      </c>
      <c r="F61" s="58">
        <f t="shared" si="5"/>
        <v>207.9</v>
      </c>
      <c r="G61" s="59">
        <f t="shared" si="6"/>
        <v>757.16</v>
      </c>
      <c r="H61" s="38" t="str">
        <f t="shared" si="7"/>
        <v>PIX-47 98925 9070</v>
      </c>
    </row>
    <row r="62" spans="2:8" ht="15.75" x14ac:dyDescent="0.25">
      <c r="B62" s="16" t="s">
        <v>61</v>
      </c>
      <c r="C62" s="36">
        <f t="shared" si="2"/>
        <v>6517.86</v>
      </c>
      <c r="D62" s="12">
        <f t="shared" si="3"/>
        <v>0</v>
      </c>
      <c r="E62" s="58">
        <f t="shared" si="4"/>
        <v>0</v>
      </c>
      <c r="F62" s="58">
        <f t="shared" si="5"/>
        <v>0</v>
      </c>
      <c r="G62" s="59">
        <f t="shared" si="6"/>
        <v>6517.86</v>
      </c>
      <c r="H62" s="38" t="str">
        <f t="shared" si="7"/>
        <v>PIX - 02922806103</v>
      </c>
    </row>
    <row r="63" spans="2:8" ht="15.75" x14ac:dyDescent="0.25">
      <c r="B63" s="16" t="s">
        <v>159</v>
      </c>
      <c r="C63" s="36">
        <f t="shared" si="2"/>
        <v>2096.42</v>
      </c>
      <c r="D63" s="12">
        <f t="shared" si="3"/>
        <v>0</v>
      </c>
      <c r="E63" s="58">
        <f t="shared" si="4"/>
        <v>257.39999999999998</v>
      </c>
      <c r="F63" s="58">
        <f t="shared" si="5"/>
        <v>207.9</v>
      </c>
      <c r="G63" s="59">
        <f t="shared" si="6"/>
        <v>2561.7200000000003</v>
      </c>
      <c r="H63" s="38" t="str">
        <f t="shared" si="7"/>
        <v>PIX - 67993406316</v>
      </c>
    </row>
    <row r="64" spans="2:8" ht="15.75" x14ac:dyDescent="0.25">
      <c r="B64" s="16" t="s">
        <v>64</v>
      </c>
      <c r="C64" s="36">
        <f t="shared" si="2"/>
        <v>0</v>
      </c>
      <c r="D64" s="12">
        <f t="shared" si="3"/>
        <v>0</v>
      </c>
      <c r="E64" s="58">
        <f t="shared" si="4"/>
        <v>0</v>
      </c>
      <c r="F64" s="58">
        <f t="shared" si="5"/>
        <v>0</v>
      </c>
      <c r="G64" s="59">
        <f t="shared" si="6"/>
        <v>0</v>
      </c>
      <c r="H64" s="38" t="str">
        <f t="shared" si="7"/>
        <v>PIX - 67993258394</v>
      </c>
    </row>
    <row r="65" spans="2:8" ht="15.75" x14ac:dyDescent="0.25">
      <c r="B65" s="16" t="s">
        <v>164</v>
      </c>
      <c r="C65" s="36">
        <f t="shared" si="2"/>
        <v>1147.23</v>
      </c>
      <c r="D65" s="12">
        <f t="shared" si="3"/>
        <v>0</v>
      </c>
      <c r="E65" s="58" t="str">
        <f t="shared" si="4"/>
        <v>cartão</v>
      </c>
      <c r="F65" s="58">
        <f t="shared" si="5"/>
        <v>207.9</v>
      </c>
      <c r="G65" s="59">
        <f t="shared" si="6"/>
        <v>1355.13</v>
      </c>
      <c r="H65" s="38" t="str">
        <f t="shared" si="7"/>
        <v>PIX - 06019171116</v>
      </c>
    </row>
    <row r="66" spans="2:8" ht="15.75" x14ac:dyDescent="0.25">
      <c r="B66" s="16" t="s">
        <v>147</v>
      </c>
      <c r="C66" s="36">
        <f t="shared" si="2"/>
        <v>2571.42</v>
      </c>
      <c r="D66" s="12">
        <f t="shared" si="3"/>
        <v>0</v>
      </c>
      <c r="E66" s="58">
        <f t="shared" si="4"/>
        <v>257.39999999999998</v>
      </c>
      <c r="F66" s="58">
        <f t="shared" si="5"/>
        <v>207.9</v>
      </c>
      <c r="G66" s="59">
        <f t="shared" si="6"/>
        <v>3036.7200000000003</v>
      </c>
      <c r="H66" s="38" t="str">
        <f t="shared" si="7"/>
        <v>PIX - 59237805187</v>
      </c>
    </row>
    <row r="67" spans="2:8" ht="15.75" x14ac:dyDescent="0.25">
      <c r="B67" s="16" t="s">
        <v>152</v>
      </c>
      <c r="C67" s="36">
        <f t="shared" si="2"/>
        <v>1292.97</v>
      </c>
      <c r="D67" s="12">
        <f t="shared" si="3"/>
        <v>0</v>
      </c>
      <c r="E67" s="58" t="str">
        <f t="shared" si="4"/>
        <v>cartão</v>
      </c>
      <c r="F67" s="58">
        <f t="shared" si="5"/>
        <v>207.9</v>
      </c>
      <c r="G67" s="59">
        <f t="shared" si="6"/>
        <v>1500.8700000000001</v>
      </c>
      <c r="H67" s="38" t="str">
        <f t="shared" si="7"/>
        <v>PIX - 04707707246</v>
      </c>
    </row>
    <row r="68" spans="2:8" ht="15.75" x14ac:dyDescent="0.25">
      <c r="B68" s="16" t="s">
        <v>107</v>
      </c>
      <c r="C68" s="36">
        <f t="shared" si="2"/>
        <v>4605.45</v>
      </c>
      <c r="D68" s="12">
        <f t="shared" si="3"/>
        <v>0</v>
      </c>
      <c r="E68" s="58">
        <f t="shared" si="4"/>
        <v>257.39999999999998</v>
      </c>
      <c r="F68" s="58">
        <f t="shared" si="5"/>
        <v>137.15</v>
      </c>
      <c r="G68" s="59">
        <f t="shared" si="6"/>
        <v>4999.9999999999991</v>
      </c>
      <c r="H68" s="38" t="str">
        <f t="shared" si="7"/>
        <v>PIX-03864848130</v>
      </c>
    </row>
    <row r="69" spans="2:8" ht="15.75" x14ac:dyDescent="0.25">
      <c r="B69" s="16" t="s">
        <v>49</v>
      </c>
      <c r="C69" s="36">
        <f t="shared" si="2"/>
        <v>0</v>
      </c>
      <c r="D69" s="12">
        <f t="shared" si="3"/>
        <v>0</v>
      </c>
      <c r="E69" s="58">
        <f t="shared" si="4"/>
        <v>0</v>
      </c>
      <c r="F69" s="58">
        <f t="shared" si="5"/>
        <v>0</v>
      </c>
      <c r="G69" s="59">
        <f t="shared" si="6"/>
        <v>0</v>
      </c>
      <c r="H69" s="38" t="str">
        <f t="shared" si="7"/>
        <v>PIX:6799832-1619</v>
      </c>
    </row>
    <row r="70" spans="2:8" ht="15.75" x14ac:dyDescent="0.25">
      <c r="B70" s="16" t="s">
        <v>51</v>
      </c>
      <c r="C70" s="36">
        <f t="shared" si="2"/>
        <v>1246.42</v>
      </c>
      <c r="D70" s="12">
        <f t="shared" si="3"/>
        <v>0</v>
      </c>
      <c r="E70" s="58">
        <f t="shared" si="4"/>
        <v>257.39999999999998</v>
      </c>
      <c r="F70" s="58">
        <f t="shared" si="5"/>
        <v>207.9</v>
      </c>
      <c r="G70" s="59">
        <f t="shared" si="6"/>
        <v>1711.7200000000003</v>
      </c>
      <c r="H70" s="38" t="str">
        <f t="shared" si="7"/>
        <v>PIX-032133131-14</v>
      </c>
    </row>
    <row r="71" spans="2:8" ht="15.75" x14ac:dyDescent="0.25">
      <c r="B71" s="16" t="s">
        <v>63</v>
      </c>
      <c r="C71" s="36">
        <f t="shared" si="2"/>
        <v>2421.08</v>
      </c>
      <c r="D71" s="12">
        <f t="shared" si="3"/>
        <v>705.7</v>
      </c>
      <c r="E71" s="58">
        <f t="shared" si="4"/>
        <v>257.39999999999998</v>
      </c>
      <c r="F71" s="58">
        <f t="shared" si="5"/>
        <v>42.6</v>
      </c>
      <c r="G71" s="59">
        <f t="shared" si="6"/>
        <v>3426.7799999999997</v>
      </c>
      <c r="H71" s="38" t="str">
        <f t="shared" si="7"/>
        <v xml:space="preserve">PIX - 67996449329 </v>
      </c>
    </row>
    <row r="72" spans="2:8" ht="15.75" x14ac:dyDescent="0.25">
      <c r="B72" s="16" t="s">
        <v>132</v>
      </c>
      <c r="C72" s="36">
        <f t="shared" si="2"/>
        <v>1746.42</v>
      </c>
      <c r="D72" s="12">
        <f t="shared" si="3"/>
        <v>0</v>
      </c>
      <c r="E72" s="58">
        <f t="shared" si="4"/>
        <v>89.1</v>
      </c>
      <c r="F72" s="58">
        <f t="shared" si="5"/>
        <v>59.4</v>
      </c>
      <c r="G72" s="59">
        <f t="shared" si="6"/>
        <v>1894.92</v>
      </c>
      <c r="H72" s="38" t="str">
        <f t="shared" si="7"/>
        <v>PIX -  6798194-7972</v>
      </c>
    </row>
    <row r="73" spans="2:8" ht="15.75" x14ac:dyDescent="0.25">
      <c r="B73" s="16" t="s">
        <v>182</v>
      </c>
      <c r="C73" s="36">
        <f t="shared" si="2"/>
        <v>1094.83</v>
      </c>
      <c r="D73" s="12">
        <f t="shared" si="3"/>
        <v>0</v>
      </c>
      <c r="E73" s="58">
        <f t="shared" si="4"/>
        <v>257.39999999999998</v>
      </c>
      <c r="F73" s="58">
        <f t="shared" si="5"/>
        <v>207.9</v>
      </c>
      <c r="G73" s="59">
        <f t="shared" si="6"/>
        <v>1560.13</v>
      </c>
      <c r="H73" s="38" t="str">
        <f t="shared" si="7"/>
        <v>PIX - 048.509.921-70</v>
      </c>
    </row>
    <row r="74" spans="2:8" ht="15.75" x14ac:dyDescent="0.25">
      <c r="B74" s="16" t="s">
        <v>200</v>
      </c>
      <c r="C74" s="36">
        <f t="shared" si="2"/>
        <v>0</v>
      </c>
      <c r="D74" s="12">
        <f t="shared" si="3"/>
        <v>0</v>
      </c>
      <c r="E74" s="58">
        <f t="shared" si="4"/>
        <v>306.89999999999998</v>
      </c>
      <c r="F74" s="58">
        <f t="shared" si="5"/>
        <v>247.5</v>
      </c>
      <c r="G74" s="59">
        <f t="shared" si="6"/>
        <v>554.4</v>
      </c>
      <c r="H74" s="38" t="str">
        <f t="shared" si="7"/>
        <v>PIX - vivian_cristina_silva@outlook.com</v>
      </c>
    </row>
    <row r="75" spans="2:8" ht="15.75" x14ac:dyDescent="0.25">
      <c r="B75" s="16" t="s">
        <v>55</v>
      </c>
      <c r="C75" s="36">
        <f t="shared" si="2"/>
        <v>1456.17</v>
      </c>
      <c r="D75" s="12">
        <f t="shared" si="3"/>
        <v>0</v>
      </c>
      <c r="E75" s="58">
        <f t="shared" si="4"/>
        <v>257.39999999999998</v>
      </c>
      <c r="F75" s="58">
        <f t="shared" si="5"/>
        <v>207.9</v>
      </c>
      <c r="G75" s="59">
        <f t="shared" si="6"/>
        <v>1921.4700000000003</v>
      </c>
      <c r="H75" s="38" t="str">
        <f t="shared" si="7"/>
        <v>PIX - 054.251.702-70</v>
      </c>
    </row>
    <row r="76" spans="2:8" ht="15.75" x14ac:dyDescent="0.25">
      <c r="B76" s="16" t="s">
        <v>167</v>
      </c>
      <c r="C76" s="36">
        <f t="shared" si="2"/>
        <v>800</v>
      </c>
      <c r="D76" s="12">
        <f t="shared" si="3"/>
        <v>0</v>
      </c>
      <c r="E76" s="58" t="str">
        <f t="shared" si="4"/>
        <v>cartão</v>
      </c>
      <c r="F76" s="58">
        <f t="shared" si="5"/>
        <v>0</v>
      </c>
      <c r="G76" s="59">
        <f t="shared" si="6"/>
        <v>800</v>
      </c>
      <c r="H76" s="38" t="str">
        <f t="shared" si="7"/>
        <v>PIX - 11153183145</v>
      </c>
    </row>
    <row r="77" spans="2:8" ht="15.75" x14ac:dyDescent="0.25">
      <c r="B77" s="16" t="s">
        <v>112</v>
      </c>
      <c r="C77" s="36">
        <f t="shared" si="2"/>
        <v>942.97</v>
      </c>
      <c r="D77" s="12">
        <f t="shared" si="3"/>
        <v>0</v>
      </c>
      <c r="E77" s="58" t="str">
        <f t="shared" si="4"/>
        <v>cartão</v>
      </c>
      <c r="F77" s="58">
        <f t="shared" si="5"/>
        <v>207.9</v>
      </c>
      <c r="G77" s="59">
        <f t="shared" si="6"/>
        <v>1150.8700000000001</v>
      </c>
      <c r="H77" s="38" t="str">
        <f t="shared" si="7"/>
        <v>PIX - yanaporto67@gmail.com</v>
      </c>
    </row>
    <row r="78" spans="2:8" ht="15.75" x14ac:dyDescent="0.25">
      <c r="B78" s="60" t="s">
        <v>23</v>
      </c>
      <c r="C78" s="30">
        <f>SUM(C44:C77)</f>
        <v>65876.06</v>
      </c>
      <c r="D78" s="30">
        <f>SUBTOTAL(9,D44:D77)</f>
        <v>1208.0999999999999</v>
      </c>
      <c r="E78" s="30">
        <f>SUBTOTAL(9,E44:E77)</f>
        <v>5029.2</v>
      </c>
      <c r="F78" s="30">
        <f>SUBTOTAL(9,F44:F77)</f>
        <v>5172.45</v>
      </c>
      <c r="G78" s="30">
        <f>SUBTOTAL(9,G44:G77)</f>
        <v>77285.81</v>
      </c>
      <c r="H78" s="30"/>
    </row>
    <row r="80" spans="2:8" x14ac:dyDescent="0.25">
      <c r="B80" t="s">
        <v>174</v>
      </c>
    </row>
    <row r="81" spans="2:2" ht="15.75" x14ac:dyDescent="0.25">
      <c r="B81" s="16" t="s">
        <v>192</v>
      </c>
    </row>
    <row r="82" spans="2:2" x14ac:dyDescent="0.25">
      <c r="B82" s="4" t="s">
        <v>191</v>
      </c>
    </row>
    <row r="83" spans="2:2" x14ac:dyDescent="0.25">
      <c r="B83" s="4" t="s">
        <v>193</v>
      </c>
    </row>
    <row r="84" spans="2:2" x14ac:dyDescent="0.25">
      <c r="B84" s="4" t="s">
        <v>199</v>
      </c>
    </row>
    <row r="85" spans="2:2" x14ac:dyDescent="0.25">
      <c r="B85" t="s">
        <v>202</v>
      </c>
    </row>
    <row r="86" spans="2:2" x14ac:dyDescent="0.25">
      <c r="B86" s="129" t="s">
        <v>203</v>
      </c>
    </row>
    <row r="87" spans="2:2" x14ac:dyDescent="0.25">
      <c r="B87" s="129" t="s">
        <v>204</v>
      </c>
    </row>
    <row r="88" spans="2:2" x14ac:dyDescent="0.25">
      <c r="B88" s="129"/>
    </row>
  </sheetData>
  <sortState xmlns:xlrd2="http://schemas.microsoft.com/office/spreadsheetml/2017/richdata2" ref="B3:L36">
    <sortCondition ref="B3:B36"/>
  </sortState>
  <mergeCells count="2">
    <mergeCell ref="B1:L1"/>
    <mergeCell ref="B42:H42"/>
  </mergeCells>
  <pageMargins left="0.511811024" right="0.511811024" top="0.78740157499999996" bottom="0.78740157499999996" header="0.31496062000000002" footer="0.31496062000000002"/>
  <pageSetup paperSize="9" scale="46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7859-5020-4EBD-BCA3-FAA501CC1D1F}">
  <sheetPr>
    <pageSetUpPr fitToPage="1"/>
  </sheetPr>
  <dimension ref="A1:N50"/>
  <sheetViews>
    <sheetView topLeftCell="B1" zoomScale="80" zoomScaleNormal="80" workbookViewId="0">
      <selection activeCell="G45" sqref="G45"/>
    </sheetView>
  </sheetViews>
  <sheetFormatPr defaultRowHeight="15" x14ac:dyDescent="0.25"/>
  <cols>
    <col min="2" max="2" width="50.5703125" customWidth="1"/>
    <col min="3" max="4" width="15.7109375" bestFit="1" customWidth="1"/>
    <col min="5" max="5" width="12.42578125" bestFit="1" customWidth="1"/>
    <col min="6" max="6" width="14.42578125" bestFit="1" customWidth="1"/>
    <col min="7" max="7" width="15.5703125" customWidth="1"/>
    <col min="8" max="8" width="15.7109375" bestFit="1" customWidth="1"/>
    <col min="9" max="9" width="14.42578125" customWidth="1"/>
    <col min="11" max="11" width="14.42578125" bestFit="1" customWidth="1"/>
    <col min="12" max="12" width="16" customWidth="1"/>
    <col min="13" max="13" width="15.140625" customWidth="1"/>
    <col min="14" max="14" width="12.28515625" customWidth="1"/>
  </cols>
  <sheetData>
    <row r="1" spans="1:14" ht="15.75" x14ac:dyDescent="0.25">
      <c r="B1" s="137" t="s">
        <v>102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03"/>
    </row>
    <row r="2" spans="1:14" ht="15.75" x14ac:dyDescent="0.25">
      <c r="B2" s="6" t="s">
        <v>0</v>
      </c>
      <c r="C2" s="6" t="s">
        <v>65</v>
      </c>
      <c r="D2" s="6" t="s">
        <v>66</v>
      </c>
      <c r="E2" s="6" t="s">
        <v>67</v>
      </c>
      <c r="F2" s="31" t="s">
        <v>68</v>
      </c>
      <c r="G2" s="31" t="s">
        <v>69</v>
      </c>
      <c r="H2" s="6" t="s">
        <v>6</v>
      </c>
      <c r="I2" s="6" t="s">
        <v>70</v>
      </c>
      <c r="K2" s="6" t="s">
        <v>128</v>
      </c>
      <c r="L2" s="6" t="s">
        <v>139</v>
      </c>
      <c r="M2" s="6" t="s">
        <v>23</v>
      </c>
      <c r="N2" s="6" t="s">
        <v>71</v>
      </c>
    </row>
    <row r="3" spans="1:14" ht="15.75" x14ac:dyDescent="0.25">
      <c r="A3" s="125">
        <v>46300</v>
      </c>
      <c r="B3" s="97" t="s">
        <v>116</v>
      </c>
      <c r="C3" s="62">
        <v>2109.2800000000002</v>
      </c>
      <c r="D3" s="37">
        <v>1856.93</v>
      </c>
      <c r="E3" s="51">
        <v>115</v>
      </c>
      <c r="F3" s="37"/>
      <c r="G3" s="63"/>
      <c r="H3" s="51">
        <f>SUM(D3:G3)</f>
        <v>1971.93</v>
      </c>
      <c r="I3" s="64" t="s">
        <v>130</v>
      </c>
      <c r="K3" s="37">
        <v>207.9</v>
      </c>
      <c r="L3" s="37" t="s">
        <v>136</v>
      </c>
      <c r="M3" s="65">
        <f>SUM(H3:L3)</f>
        <v>2179.83</v>
      </c>
      <c r="N3" s="66"/>
    </row>
    <row r="4" spans="1:14" ht="15.75" x14ac:dyDescent="0.25">
      <c r="A4" s="125">
        <v>46050</v>
      </c>
      <c r="B4" s="97" t="s">
        <v>148</v>
      </c>
      <c r="C4" s="62">
        <v>1900</v>
      </c>
      <c r="D4" s="37">
        <v>1639.32</v>
      </c>
      <c r="E4" s="51"/>
      <c r="F4" s="37"/>
      <c r="G4" s="63"/>
      <c r="H4" s="51">
        <f>SUM(D4:G4)</f>
        <v>1639.32</v>
      </c>
      <c r="I4" s="64" t="s">
        <v>162</v>
      </c>
      <c r="K4" s="37">
        <v>207.9</v>
      </c>
      <c r="L4" s="37">
        <v>257.39999999999998</v>
      </c>
      <c r="M4" s="65">
        <f t="shared" ref="M4:M17" si="0">SUM(H4:L4)</f>
        <v>2104.62</v>
      </c>
      <c r="N4" s="66"/>
    </row>
    <row r="5" spans="1:14" ht="15.75" x14ac:dyDescent="0.25">
      <c r="B5" s="112" t="s">
        <v>72</v>
      </c>
      <c r="C5" s="62">
        <v>3500</v>
      </c>
      <c r="D5" s="37">
        <v>3500</v>
      </c>
      <c r="E5" s="51"/>
      <c r="F5" s="37"/>
      <c r="G5" s="63">
        <v>-500</v>
      </c>
      <c r="H5" s="51">
        <f>SUM(D5:G5)</f>
        <v>3000</v>
      </c>
      <c r="I5" s="64" t="s">
        <v>73</v>
      </c>
      <c r="K5" s="111"/>
      <c r="L5" s="111"/>
      <c r="M5" s="65">
        <f t="shared" si="0"/>
        <v>3000</v>
      </c>
      <c r="N5" s="66"/>
    </row>
    <row r="6" spans="1:14" ht="15.75" x14ac:dyDescent="0.25">
      <c r="A6" s="125">
        <v>46312</v>
      </c>
      <c r="B6" s="97" t="s">
        <v>74</v>
      </c>
      <c r="C6" s="62">
        <v>2045.89</v>
      </c>
      <c r="D6" s="37">
        <v>1282.78</v>
      </c>
      <c r="E6" s="51"/>
      <c r="F6" s="37"/>
      <c r="G6" s="63"/>
      <c r="H6" s="51">
        <f>SUM(D6:G6)</f>
        <v>1282.78</v>
      </c>
      <c r="I6" s="64" t="s">
        <v>75</v>
      </c>
      <c r="K6" s="37">
        <v>148.5</v>
      </c>
      <c r="L6" s="37">
        <v>148.5</v>
      </c>
      <c r="M6" s="65">
        <f t="shared" si="0"/>
        <v>1579.78</v>
      </c>
      <c r="N6" s="66"/>
    </row>
    <row r="7" spans="1:14" ht="15.75" x14ac:dyDescent="0.25">
      <c r="B7" s="97" t="s">
        <v>173</v>
      </c>
      <c r="C7" s="62">
        <v>100</v>
      </c>
      <c r="D7" s="124"/>
      <c r="E7" s="51"/>
      <c r="F7" s="37">
        <v>400</v>
      </c>
      <c r="G7" s="63"/>
      <c r="H7" s="51">
        <f>SUM(E7:G7)</f>
        <v>400</v>
      </c>
      <c r="I7" s="64" t="s">
        <v>77</v>
      </c>
      <c r="K7" s="111"/>
      <c r="L7" s="111"/>
      <c r="M7" s="65">
        <f t="shared" si="0"/>
        <v>400</v>
      </c>
      <c r="N7" s="66"/>
    </row>
    <row r="8" spans="1:14" ht="15.75" x14ac:dyDescent="0.25">
      <c r="A8" s="125">
        <v>46341</v>
      </c>
      <c r="B8" s="61" t="s">
        <v>78</v>
      </c>
      <c r="C8" s="62">
        <v>2268.1999999999998</v>
      </c>
      <c r="D8" s="67">
        <v>1019.87</v>
      </c>
      <c r="E8" s="68"/>
      <c r="F8" s="67"/>
      <c r="G8" s="69"/>
      <c r="H8" s="51">
        <f t="shared" ref="H8:H17" si="1">SUM(D8:G8)</f>
        <v>1019.87</v>
      </c>
      <c r="I8" s="64" t="s">
        <v>79</v>
      </c>
      <c r="K8" s="37">
        <v>207.9</v>
      </c>
      <c r="L8" s="37">
        <v>257.39999999999998</v>
      </c>
      <c r="M8" s="65">
        <f t="shared" si="0"/>
        <v>1485.17</v>
      </c>
      <c r="N8" s="66"/>
    </row>
    <row r="9" spans="1:14" ht="15.75" x14ac:dyDescent="0.25">
      <c r="B9" s="112" t="s">
        <v>111</v>
      </c>
      <c r="C9" s="62">
        <v>3500</v>
      </c>
      <c r="D9" s="67">
        <v>3500</v>
      </c>
      <c r="E9" s="68"/>
      <c r="F9" s="67"/>
      <c r="G9" s="69"/>
      <c r="H9" s="51">
        <f t="shared" si="1"/>
        <v>3500</v>
      </c>
      <c r="I9" s="64" t="s">
        <v>110</v>
      </c>
      <c r="K9" s="109"/>
      <c r="L9" s="109"/>
      <c r="M9" s="65">
        <f t="shared" si="0"/>
        <v>3500</v>
      </c>
      <c r="N9" s="66"/>
    </row>
    <row r="10" spans="1:14" ht="15.75" x14ac:dyDescent="0.25">
      <c r="A10" s="125">
        <v>46233</v>
      </c>
      <c r="B10" s="97" t="s">
        <v>80</v>
      </c>
      <c r="C10" s="62">
        <v>4000</v>
      </c>
      <c r="D10" s="67">
        <v>3631.42</v>
      </c>
      <c r="E10" s="70"/>
      <c r="F10" s="67"/>
      <c r="G10" s="69"/>
      <c r="H10" s="51">
        <f t="shared" si="1"/>
        <v>3631.42</v>
      </c>
      <c r="I10" s="71" t="s">
        <v>81</v>
      </c>
      <c r="K10" s="109"/>
      <c r="L10" s="109"/>
      <c r="M10" s="65">
        <f t="shared" si="0"/>
        <v>3631.42</v>
      </c>
      <c r="N10" s="66"/>
    </row>
    <row r="11" spans="1:14" ht="15.75" x14ac:dyDescent="0.25">
      <c r="A11" s="125">
        <v>46143</v>
      </c>
      <c r="B11" s="72" t="s">
        <v>82</v>
      </c>
      <c r="C11" s="80">
        <v>1500</v>
      </c>
      <c r="D11" s="37">
        <v>1500</v>
      </c>
      <c r="E11" s="46"/>
      <c r="F11" s="67"/>
      <c r="G11" s="73"/>
      <c r="H11" s="51">
        <f t="shared" si="1"/>
        <v>1500</v>
      </c>
      <c r="I11" s="72" t="s">
        <v>45</v>
      </c>
      <c r="K11" s="110"/>
      <c r="L11" s="110"/>
      <c r="M11" s="65">
        <f t="shared" si="0"/>
        <v>1500</v>
      </c>
      <c r="N11" s="66"/>
    </row>
    <row r="12" spans="1:14" ht="15.75" x14ac:dyDescent="0.25">
      <c r="B12" s="113" t="s">
        <v>83</v>
      </c>
      <c r="C12" s="62">
        <v>3500</v>
      </c>
      <c r="D12" s="67">
        <v>3500</v>
      </c>
      <c r="E12" s="68"/>
      <c r="F12" s="67">
        <v>500</v>
      </c>
      <c r="G12" s="69">
        <v>-500</v>
      </c>
      <c r="H12" s="51">
        <f t="shared" si="1"/>
        <v>3500</v>
      </c>
      <c r="I12" s="64" t="s">
        <v>84</v>
      </c>
      <c r="K12" s="109"/>
      <c r="L12" s="109"/>
      <c r="M12" s="65">
        <f t="shared" si="0"/>
        <v>3500</v>
      </c>
      <c r="N12" s="66"/>
    </row>
    <row r="13" spans="1:14" ht="15.75" x14ac:dyDescent="0.25">
      <c r="A13" s="125">
        <v>46149</v>
      </c>
      <c r="B13" s="97" t="s">
        <v>179</v>
      </c>
      <c r="C13" s="62">
        <v>2045.89</v>
      </c>
      <c r="D13" s="67">
        <v>1637.06</v>
      </c>
      <c r="E13" s="68"/>
      <c r="F13" s="67"/>
      <c r="G13" s="69"/>
      <c r="H13" s="51">
        <f t="shared" si="1"/>
        <v>1637.06</v>
      </c>
      <c r="I13" s="64" t="s">
        <v>184</v>
      </c>
      <c r="K13" s="37">
        <v>39.6</v>
      </c>
      <c r="L13" s="37">
        <v>257.39999999999998</v>
      </c>
      <c r="M13" s="65">
        <f t="shared" si="0"/>
        <v>1934.06</v>
      </c>
      <c r="N13" s="66"/>
    </row>
    <row r="14" spans="1:14" ht="15.75" x14ac:dyDescent="0.25">
      <c r="A14" s="125">
        <v>46287</v>
      </c>
      <c r="B14" s="97" t="s">
        <v>117</v>
      </c>
      <c r="C14" s="62">
        <v>1967.54</v>
      </c>
      <c r="D14" s="37">
        <v>1206.8599999999999</v>
      </c>
      <c r="E14" s="51"/>
      <c r="F14" s="37"/>
      <c r="G14" s="63"/>
      <c r="H14" s="51">
        <f t="shared" si="1"/>
        <v>1206.8599999999999</v>
      </c>
      <c r="I14" s="64" t="s">
        <v>163</v>
      </c>
      <c r="K14" s="37">
        <v>207.9</v>
      </c>
      <c r="L14" s="37">
        <v>257.39999999999998</v>
      </c>
      <c r="M14" s="65">
        <f t="shared" si="0"/>
        <v>1672.1599999999999</v>
      </c>
      <c r="N14" s="66"/>
    </row>
    <row r="15" spans="1:14" ht="15.75" x14ac:dyDescent="0.25">
      <c r="A15" s="125">
        <v>46076</v>
      </c>
      <c r="B15" s="61" t="s">
        <v>85</v>
      </c>
      <c r="C15" s="62">
        <v>2045.89</v>
      </c>
      <c r="D15" s="37">
        <v>1782.78</v>
      </c>
      <c r="E15" s="51"/>
      <c r="F15" s="37"/>
      <c r="G15" s="63"/>
      <c r="H15" s="51">
        <f t="shared" si="1"/>
        <v>1782.78</v>
      </c>
      <c r="I15" s="64" t="s">
        <v>86</v>
      </c>
      <c r="K15" s="37">
        <v>148.5</v>
      </c>
      <c r="L15" s="91">
        <v>148.5</v>
      </c>
      <c r="M15" s="65">
        <f t="shared" si="0"/>
        <v>2079.7799999999997</v>
      </c>
      <c r="N15" s="89"/>
    </row>
    <row r="16" spans="1:14" ht="15.75" x14ac:dyDescent="0.25">
      <c r="A16" s="125">
        <v>46244</v>
      </c>
      <c r="B16" s="61" t="s">
        <v>87</v>
      </c>
      <c r="C16" s="62">
        <v>8000</v>
      </c>
      <c r="D16" s="67">
        <v>7631.42</v>
      </c>
      <c r="E16" s="68"/>
      <c r="F16" s="67"/>
      <c r="G16" s="69"/>
      <c r="H16" s="51">
        <f t="shared" si="1"/>
        <v>7631.42</v>
      </c>
      <c r="I16" s="64" t="s">
        <v>88</v>
      </c>
      <c r="K16" s="67"/>
      <c r="L16" s="74"/>
      <c r="M16" s="65">
        <f t="shared" si="0"/>
        <v>7631.42</v>
      </c>
    </row>
    <row r="17" spans="2:14" ht="15.75" x14ac:dyDescent="0.25">
      <c r="B17" s="112" t="s">
        <v>106</v>
      </c>
      <c r="C17" s="62">
        <v>3200</v>
      </c>
      <c r="D17" s="67">
        <v>3200</v>
      </c>
      <c r="E17" s="68"/>
      <c r="F17" s="67"/>
      <c r="G17" s="69"/>
      <c r="H17" s="51">
        <f t="shared" si="1"/>
        <v>3200</v>
      </c>
      <c r="I17" s="64" t="s">
        <v>105</v>
      </c>
      <c r="K17" s="109"/>
      <c r="L17" s="109"/>
      <c r="M17" s="65">
        <f t="shared" si="0"/>
        <v>3200</v>
      </c>
      <c r="N17" s="89"/>
    </row>
    <row r="18" spans="2:14" ht="15.75" x14ac:dyDescent="0.25">
      <c r="B18" s="75" t="s">
        <v>9</v>
      </c>
      <c r="C18" s="75"/>
      <c r="D18" s="76">
        <f t="shared" ref="D18:I18" si="2">SUBTOTAL(9,D3:D17)</f>
        <v>36888.44</v>
      </c>
      <c r="E18" s="76">
        <f t="shared" si="2"/>
        <v>115</v>
      </c>
      <c r="F18" s="76">
        <f t="shared" si="2"/>
        <v>900</v>
      </c>
      <c r="G18" s="76">
        <f t="shared" si="2"/>
        <v>-1000</v>
      </c>
      <c r="H18" s="76">
        <f t="shared" si="2"/>
        <v>36903.440000000002</v>
      </c>
      <c r="I18" s="76">
        <f t="shared" si="2"/>
        <v>0</v>
      </c>
      <c r="K18" s="76">
        <f>SUBTOTAL(9,K3:K17)</f>
        <v>1168.1999999999998</v>
      </c>
      <c r="L18" s="76">
        <f>SUBTOTAL(9,L3:L17)</f>
        <v>1326.6</v>
      </c>
      <c r="M18" s="76">
        <f>SUM(M3:M17)</f>
        <v>39398.239999999998</v>
      </c>
    </row>
    <row r="20" spans="2:14" x14ac:dyDescent="0.25">
      <c r="B20" t="s">
        <v>149</v>
      </c>
    </row>
    <row r="21" spans="2:14" ht="15.75" x14ac:dyDescent="0.25">
      <c r="B21" s="97" t="s">
        <v>150</v>
      </c>
    </row>
    <row r="22" spans="2:14" ht="15.75" x14ac:dyDescent="0.25">
      <c r="B22" s="61" t="s">
        <v>151</v>
      </c>
    </row>
    <row r="24" spans="2:14" ht="15.75" x14ac:dyDescent="0.25">
      <c r="B24" s="136" t="s">
        <v>19</v>
      </c>
      <c r="C24" s="136"/>
      <c r="D24" s="136"/>
      <c r="E24" s="136"/>
      <c r="F24" s="136"/>
      <c r="G24" s="136"/>
      <c r="H24" s="136"/>
      <c r="I24" s="136"/>
    </row>
    <row r="25" spans="2:14" x14ac:dyDescent="0.25">
      <c r="B25" s="77" t="s">
        <v>20</v>
      </c>
      <c r="C25" s="77" t="s">
        <v>21</v>
      </c>
      <c r="D25" s="77" t="s">
        <v>89</v>
      </c>
      <c r="E25" s="77" t="s">
        <v>90</v>
      </c>
      <c r="F25" s="77" t="s">
        <v>143</v>
      </c>
      <c r="G25" s="77" t="s">
        <v>8</v>
      </c>
      <c r="H25" s="77" t="s">
        <v>23</v>
      </c>
      <c r="I25" s="77" t="s">
        <v>91</v>
      </c>
    </row>
    <row r="26" spans="2:14" x14ac:dyDescent="0.25">
      <c r="B26" t="s">
        <v>116</v>
      </c>
      <c r="C26" s="78">
        <f>D3+G3</f>
        <v>1856.93</v>
      </c>
      <c r="D26" s="78">
        <f>E3</f>
        <v>115</v>
      </c>
      <c r="E26" s="78">
        <f>F3</f>
        <v>0</v>
      </c>
      <c r="F26" s="78" t="str">
        <f>L3</f>
        <v xml:space="preserve">Cartão </v>
      </c>
      <c r="G26" s="78">
        <f>K3</f>
        <v>207.9</v>
      </c>
      <c r="H26" s="79">
        <f>SUM(C26:G26)</f>
        <v>2179.83</v>
      </c>
      <c r="I26" t="str">
        <f>I3</f>
        <v>PIX  - 067991858995</v>
      </c>
    </row>
    <row r="27" spans="2:14" x14ac:dyDescent="0.25">
      <c r="B27" t="s">
        <v>148</v>
      </c>
      <c r="C27" s="78">
        <f t="shared" ref="C27:C40" si="3">D4+G4</f>
        <v>1639.32</v>
      </c>
      <c r="D27" s="78">
        <f t="shared" ref="D27:E40" si="4">E4</f>
        <v>0</v>
      </c>
      <c r="E27" s="78">
        <f t="shared" si="4"/>
        <v>0</v>
      </c>
      <c r="F27" s="78">
        <f t="shared" ref="F27:F40" si="5">L4</f>
        <v>257.39999999999998</v>
      </c>
      <c r="G27" s="78">
        <f t="shared" ref="G27:G40" si="6">K4</f>
        <v>207.9</v>
      </c>
      <c r="H27" s="79">
        <f t="shared" ref="H27:H40" si="7">SUM(C27:G27)</f>
        <v>2104.62</v>
      </c>
      <c r="I27" t="str">
        <f t="shared" ref="I27:I40" si="8">I4</f>
        <v>PIX - 01163365106</v>
      </c>
    </row>
    <row r="28" spans="2:14" x14ac:dyDescent="0.25">
      <c r="B28" t="s">
        <v>72</v>
      </c>
      <c r="C28" s="78">
        <f t="shared" si="3"/>
        <v>3000</v>
      </c>
      <c r="D28" s="78">
        <f t="shared" si="4"/>
        <v>0</v>
      </c>
      <c r="E28" s="78">
        <f t="shared" si="4"/>
        <v>0</v>
      </c>
      <c r="F28" s="78">
        <f t="shared" si="5"/>
        <v>0</v>
      </c>
      <c r="G28" s="78">
        <f t="shared" si="6"/>
        <v>0</v>
      </c>
      <c r="H28" s="79">
        <f t="shared" si="7"/>
        <v>3000</v>
      </c>
      <c r="I28" t="str">
        <f t="shared" si="8"/>
        <v>PIX - 059.061.451-76</v>
      </c>
    </row>
    <row r="29" spans="2:14" x14ac:dyDescent="0.25">
      <c r="B29" t="s">
        <v>74</v>
      </c>
      <c r="C29" s="78">
        <f t="shared" si="3"/>
        <v>1282.78</v>
      </c>
      <c r="D29" s="78">
        <f t="shared" si="4"/>
        <v>0</v>
      </c>
      <c r="E29" s="78">
        <f t="shared" si="4"/>
        <v>0</v>
      </c>
      <c r="F29" s="78">
        <f t="shared" si="5"/>
        <v>148.5</v>
      </c>
      <c r="G29" s="78">
        <f t="shared" si="6"/>
        <v>148.5</v>
      </c>
      <c r="H29" s="79">
        <f t="shared" si="7"/>
        <v>1579.78</v>
      </c>
      <c r="I29" t="str">
        <f t="shared" si="8"/>
        <v>PIX - 67991762840</v>
      </c>
    </row>
    <row r="30" spans="2:14" x14ac:dyDescent="0.25">
      <c r="B30" t="s">
        <v>76</v>
      </c>
      <c r="C30" s="78">
        <f t="shared" si="3"/>
        <v>0</v>
      </c>
      <c r="D30" s="78">
        <f t="shared" si="4"/>
        <v>0</v>
      </c>
      <c r="E30" s="78">
        <f t="shared" si="4"/>
        <v>400</v>
      </c>
      <c r="F30" s="78">
        <f t="shared" si="5"/>
        <v>0</v>
      </c>
      <c r="G30" s="78">
        <f t="shared" si="6"/>
        <v>0</v>
      </c>
      <c r="H30" s="79">
        <f t="shared" si="7"/>
        <v>400</v>
      </c>
      <c r="I30" t="str">
        <f t="shared" si="8"/>
        <v>PIX - 67992272977</v>
      </c>
    </row>
    <row r="31" spans="2:14" x14ac:dyDescent="0.25">
      <c r="B31" t="s">
        <v>78</v>
      </c>
      <c r="C31" s="78">
        <f t="shared" si="3"/>
        <v>1019.87</v>
      </c>
      <c r="D31" s="78">
        <f t="shared" si="4"/>
        <v>0</v>
      </c>
      <c r="E31" s="78">
        <f t="shared" si="4"/>
        <v>0</v>
      </c>
      <c r="F31" s="78">
        <f t="shared" si="5"/>
        <v>257.39999999999998</v>
      </c>
      <c r="G31" s="78">
        <f t="shared" si="6"/>
        <v>207.9</v>
      </c>
      <c r="H31" s="79">
        <f t="shared" si="7"/>
        <v>1485.17</v>
      </c>
      <c r="I31" t="str">
        <f t="shared" si="8"/>
        <v>PIX -07256814119</v>
      </c>
    </row>
    <row r="32" spans="2:14" x14ac:dyDescent="0.25">
      <c r="B32" t="s">
        <v>111</v>
      </c>
      <c r="C32" s="78">
        <f t="shared" si="3"/>
        <v>3500</v>
      </c>
      <c r="D32" s="78">
        <f t="shared" si="4"/>
        <v>0</v>
      </c>
      <c r="E32" s="78">
        <f t="shared" si="4"/>
        <v>0</v>
      </c>
      <c r="F32" s="78">
        <f t="shared" si="5"/>
        <v>0</v>
      </c>
      <c r="G32" s="78">
        <f t="shared" si="6"/>
        <v>0</v>
      </c>
      <c r="H32" s="79">
        <f t="shared" si="7"/>
        <v>3500</v>
      </c>
      <c r="I32" t="str">
        <f t="shared" si="8"/>
        <v>PIX - 67981417246</v>
      </c>
    </row>
    <row r="33" spans="2:9" x14ac:dyDescent="0.25">
      <c r="B33" t="s">
        <v>80</v>
      </c>
      <c r="C33" s="78">
        <f t="shared" si="3"/>
        <v>3631.42</v>
      </c>
      <c r="D33" s="78">
        <f t="shared" si="4"/>
        <v>0</v>
      </c>
      <c r="E33" s="78">
        <f t="shared" si="4"/>
        <v>0</v>
      </c>
      <c r="F33" s="78">
        <f t="shared" si="5"/>
        <v>0</v>
      </c>
      <c r="G33" s="78">
        <f t="shared" si="6"/>
        <v>0</v>
      </c>
      <c r="H33" s="79">
        <f t="shared" si="7"/>
        <v>3631.42</v>
      </c>
      <c r="I33" t="str">
        <f t="shared" si="8"/>
        <v>PIX - 03748945159</v>
      </c>
    </row>
    <row r="34" spans="2:9" x14ac:dyDescent="0.25">
      <c r="B34" t="s">
        <v>82</v>
      </c>
      <c r="C34" s="78">
        <f t="shared" si="3"/>
        <v>1500</v>
      </c>
      <c r="D34" s="78">
        <f t="shared" si="4"/>
        <v>0</v>
      </c>
      <c r="E34" s="78">
        <f t="shared" si="4"/>
        <v>0</v>
      </c>
      <c r="F34" s="78">
        <f t="shared" si="5"/>
        <v>0</v>
      </c>
      <c r="G34" s="78">
        <f t="shared" si="6"/>
        <v>0</v>
      </c>
      <c r="H34" s="79">
        <f t="shared" si="7"/>
        <v>1500</v>
      </c>
      <c r="I34" t="str">
        <f t="shared" si="8"/>
        <v>PIX - 02922806103</v>
      </c>
    </row>
    <row r="35" spans="2:9" x14ac:dyDescent="0.25">
      <c r="B35" t="s">
        <v>83</v>
      </c>
      <c r="C35" s="78">
        <f t="shared" si="3"/>
        <v>3000</v>
      </c>
      <c r="D35" s="78">
        <f t="shared" si="4"/>
        <v>0</v>
      </c>
      <c r="E35" s="78">
        <f t="shared" si="4"/>
        <v>500</v>
      </c>
      <c r="F35" s="78">
        <f t="shared" si="5"/>
        <v>0</v>
      </c>
      <c r="G35" s="78">
        <f t="shared" si="6"/>
        <v>0</v>
      </c>
      <c r="H35" s="79">
        <f t="shared" si="7"/>
        <v>3500</v>
      </c>
      <c r="I35" t="str">
        <f t="shared" si="8"/>
        <v>PIX - 058.852.711-43</v>
      </c>
    </row>
    <row r="36" spans="2:9" x14ac:dyDescent="0.25">
      <c r="B36" t="s">
        <v>179</v>
      </c>
      <c r="C36" s="78">
        <f t="shared" si="3"/>
        <v>1637.06</v>
      </c>
      <c r="D36" s="78">
        <f t="shared" si="4"/>
        <v>0</v>
      </c>
      <c r="E36" s="78">
        <f t="shared" si="4"/>
        <v>0</v>
      </c>
      <c r="F36" s="78">
        <f t="shared" si="5"/>
        <v>257.39999999999998</v>
      </c>
      <c r="G36" s="78">
        <f t="shared" si="6"/>
        <v>39.6</v>
      </c>
      <c r="H36" s="79">
        <f t="shared" si="7"/>
        <v>1934.06</v>
      </c>
      <c r="I36" t="str">
        <f t="shared" si="8"/>
        <v>PIX - lucivan1souza82@gmail.com</v>
      </c>
    </row>
    <row r="37" spans="2:9" x14ac:dyDescent="0.25">
      <c r="B37" t="s">
        <v>117</v>
      </c>
      <c r="C37" s="78">
        <f t="shared" si="3"/>
        <v>1206.8599999999999</v>
      </c>
      <c r="D37" s="78">
        <f t="shared" si="4"/>
        <v>0</v>
      </c>
      <c r="E37" s="78">
        <f t="shared" si="4"/>
        <v>0</v>
      </c>
      <c r="F37" s="78">
        <f t="shared" si="5"/>
        <v>257.39999999999998</v>
      </c>
      <c r="G37" s="78">
        <f t="shared" si="6"/>
        <v>207.9</v>
      </c>
      <c r="H37" s="79">
        <f t="shared" si="7"/>
        <v>1672.1599999999999</v>
      </c>
      <c r="I37" t="str">
        <f t="shared" si="8"/>
        <v>PIX - 51190613204</v>
      </c>
    </row>
    <row r="38" spans="2:9" x14ac:dyDescent="0.25">
      <c r="B38" t="s">
        <v>85</v>
      </c>
      <c r="C38" s="78">
        <f t="shared" si="3"/>
        <v>1782.78</v>
      </c>
      <c r="D38" s="78">
        <f t="shared" si="4"/>
        <v>0</v>
      </c>
      <c r="E38" s="78">
        <f t="shared" si="4"/>
        <v>0</v>
      </c>
      <c r="F38" s="78">
        <f t="shared" si="5"/>
        <v>148.5</v>
      </c>
      <c r="G38" s="78">
        <f t="shared" si="6"/>
        <v>148.5</v>
      </c>
      <c r="H38" s="79">
        <f t="shared" si="7"/>
        <v>2079.7799999999997</v>
      </c>
      <c r="I38" t="str">
        <f t="shared" si="8"/>
        <v>PIX - 071.589.511-70</v>
      </c>
    </row>
    <row r="39" spans="2:9" x14ac:dyDescent="0.25">
      <c r="B39" t="s">
        <v>87</v>
      </c>
      <c r="C39" s="78">
        <f t="shared" si="3"/>
        <v>7631.42</v>
      </c>
      <c r="D39" s="78">
        <f t="shared" si="4"/>
        <v>0</v>
      </c>
      <c r="E39" s="78">
        <f t="shared" si="4"/>
        <v>0</v>
      </c>
      <c r="F39" s="78">
        <f t="shared" si="5"/>
        <v>0</v>
      </c>
      <c r="G39" s="78">
        <f t="shared" si="6"/>
        <v>0</v>
      </c>
      <c r="H39" s="79">
        <f t="shared" si="7"/>
        <v>7631.42</v>
      </c>
      <c r="I39" t="str">
        <f t="shared" si="8"/>
        <v>Pix -8d2b1a5a-6a06-490f-99c4-fbfec4316756</v>
      </c>
    </row>
    <row r="40" spans="2:9" x14ac:dyDescent="0.25">
      <c r="B40" t="s">
        <v>106</v>
      </c>
      <c r="C40" s="78">
        <f t="shared" si="3"/>
        <v>3200</v>
      </c>
      <c r="D40" s="78">
        <f t="shared" si="4"/>
        <v>0</v>
      </c>
      <c r="E40" s="78">
        <f t="shared" si="4"/>
        <v>0</v>
      </c>
      <c r="F40" s="78">
        <f t="shared" si="5"/>
        <v>0</v>
      </c>
      <c r="G40" s="78">
        <f t="shared" si="6"/>
        <v>0</v>
      </c>
      <c r="H40" s="79">
        <f t="shared" si="7"/>
        <v>3200</v>
      </c>
      <c r="I40" t="str">
        <f t="shared" si="8"/>
        <v>PIX - 07213200151</v>
      </c>
    </row>
    <row r="41" spans="2:9" ht="15.75" x14ac:dyDescent="0.25">
      <c r="B41" s="114" t="s">
        <v>23</v>
      </c>
      <c r="C41" s="30">
        <f t="shared" ref="C41:G41" si="9">SUM(C26:C40)</f>
        <v>35888.44</v>
      </c>
      <c r="D41" s="30">
        <f t="shared" si="9"/>
        <v>115</v>
      </c>
      <c r="E41" s="30">
        <f t="shared" si="9"/>
        <v>900</v>
      </c>
      <c r="F41" s="30">
        <f t="shared" si="9"/>
        <v>1326.6</v>
      </c>
      <c r="G41" s="30">
        <f t="shared" si="9"/>
        <v>1168.1999999999998</v>
      </c>
      <c r="H41" s="30">
        <f>SUM(H26:H40)</f>
        <v>39398.239999999998</v>
      </c>
      <c r="I41" s="29"/>
    </row>
    <row r="44" spans="2:9" x14ac:dyDescent="0.25">
      <c r="B44" t="s">
        <v>169</v>
      </c>
    </row>
    <row r="45" spans="2:9" x14ac:dyDescent="0.25">
      <c r="B45" t="s">
        <v>170</v>
      </c>
    </row>
    <row r="46" spans="2:9" x14ac:dyDescent="0.25">
      <c r="B46" t="s">
        <v>171</v>
      </c>
    </row>
    <row r="47" spans="2:9" x14ac:dyDescent="0.25">
      <c r="B47" t="s">
        <v>172</v>
      </c>
    </row>
    <row r="48" spans="2:9" x14ac:dyDescent="0.25">
      <c r="B48" t="s">
        <v>198</v>
      </c>
    </row>
    <row r="49" spans="2:2" x14ac:dyDescent="0.25">
      <c r="B49" s="129" t="s">
        <v>194</v>
      </c>
    </row>
    <row r="50" spans="2:2" x14ac:dyDescent="0.25">
      <c r="B50" s="129" t="s">
        <v>195</v>
      </c>
    </row>
  </sheetData>
  <sortState xmlns:xlrd2="http://schemas.microsoft.com/office/spreadsheetml/2017/richdata2" ref="B3:P17">
    <sortCondition ref="B3:B17"/>
  </sortState>
  <mergeCells count="2">
    <mergeCell ref="B24:I24"/>
    <mergeCell ref="B1:M1"/>
  </mergeCells>
  <pageMargins left="0.511811024" right="0.511811024" top="0.78740157499999996" bottom="0.78740157499999996" header="0.31496062000000002" footer="0.31496062000000002"/>
  <pageSetup paperSize="9" scale="58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5ECB-A470-40AE-BE6E-81DE36A4CBED}">
  <sheetPr>
    <pageSetUpPr fitToPage="1"/>
  </sheetPr>
  <dimension ref="A1:K20"/>
  <sheetViews>
    <sheetView workbookViewId="0">
      <selection activeCell="F20" sqref="F20"/>
    </sheetView>
  </sheetViews>
  <sheetFormatPr defaultRowHeight="15" x14ac:dyDescent="0.25"/>
  <cols>
    <col min="1" max="1" width="10.7109375" bestFit="1" customWidth="1"/>
    <col min="2" max="2" width="41.5703125" customWidth="1"/>
    <col min="3" max="3" width="19.140625" customWidth="1"/>
    <col min="4" max="4" width="15.7109375" customWidth="1"/>
    <col min="5" max="5" width="14.140625" customWidth="1"/>
    <col min="6" max="6" width="13.42578125" customWidth="1"/>
    <col min="7" max="8" width="15.28515625" customWidth="1"/>
    <col min="9" max="9" width="16" customWidth="1"/>
    <col min="10" max="10" width="14.7109375" customWidth="1"/>
    <col min="11" max="11" width="21" bestFit="1" customWidth="1"/>
  </cols>
  <sheetData>
    <row r="1" spans="1:11" ht="15.75" x14ac:dyDescent="0.25">
      <c r="B1" s="131" t="s">
        <v>101</v>
      </c>
      <c r="C1" s="132"/>
      <c r="D1" s="132"/>
      <c r="E1" s="132"/>
      <c r="F1" s="132"/>
      <c r="G1" s="132"/>
      <c r="H1" s="132"/>
      <c r="I1" s="132"/>
      <c r="J1" s="132"/>
      <c r="K1" s="132"/>
    </row>
    <row r="2" spans="1:11" ht="15.75" x14ac:dyDescent="0.25">
      <c r="A2" t="s">
        <v>120</v>
      </c>
      <c r="B2" s="1" t="s">
        <v>0</v>
      </c>
      <c r="C2" s="1" t="s">
        <v>1</v>
      </c>
      <c r="D2" s="1" t="s">
        <v>2</v>
      </c>
      <c r="E2" s="6" t="s">
        <v>25</v>
      </c>
      <c r="F2" s="6" t="s">
        <v>26</v>
      </c>
      <c r="G2" s="6" t="s">
        <v>140</v>
      </c>
      <c r="H2" s="1" t="s">
        <v>8</v>
      </c>
      <c r="I2" s="2" t="s">
        <v>5</v>
      </c>
      <c r="J2" s="1" t="s">
        <v>6</v>
      </c>
      <c r="K2" s="2" t="s">
        <v>7</v>
      </c>
    </row>
    <row r="3" spans="1:11" ht="15.75" x14ac:dyDescent="0.25">
      <c r="A3" s="94">
        <v>29363</v>
      </c>
      <c r="B3" s="90" t="s">
        <v>92</v>
      </c>
      <c r="C3" s="81">
        <v>3133.8</v>
      </c>
      <c r="D3" s="36">
        <v>2921.08</v>
      </c>
      <c r="E3" s="82"/>
      <c r="F3" s="82">
        <v>668.06</v>
      </c>
      <c r="G3" s="83">
        <v>257.39999999999998</v>
      </c>
      <c r="H3" s="83">
        <v>42.6</v>
      </c>
      <c r="I3" s="84"/>
      <c r="J3" s="8">
        <f>SUM(D3:I3)</f>
        <v>3889.14</v>
      </c>
      <c r="K3" s="2" t="s">
        <v>93</v>
      </c>
    </row>
    <row r="4" spans="1:11" ht="15.75" x14ac:dyDescent="0.25">
      <c r="A4" s="94">
        <v>25958</v>
      </c>
      <c r="B4" s="90" t="s">
        <v>94</v>
      </c>
      <c r="C4" s="81">
        <v>2244</v>
      </c>
      <c r="D4" s="36">
        <v>1566.36</v>
      </c>
      <c r="E4" s="85"/>
      <c r="F4" s="85">
        <v>1831.01</v>
      </c>
      <c r="G4" s="86">
        <v>257.39999999999998</v>
      </c>
      <c r="H4" s="86">
        <v>142.6</v>
      </c>
      <c r="I4" s="84">
        <v>-500</v>
      </c>
      <c r="J4" s="8">
        <f>SUM(D4:I4)</f>
        <v>3297.37</v>
      </c>
      <c r="K4" s="2" t="s">
        <v>95</v>
      </c>
    </row>
    <row r="5" spans="1:11" ht="15.75" x14ac:dyDescent="0.25">
      <c r="B5" s="22" t="s">
        <v>9</v>
      </c>
      <c r="C5" s="22"/>
      <c r="D5" s="23">
        <f t="shared" ref="D5:E5" si="0">SUBTOTAL(9,D3:D4)</f>
        <v>4487.4399999999996</v>
      </c>
      <c r="E5" s="23">
        <f t="shared" si="0"/>
        <v>0</v>
      </c>
      <c r="F5" s="23">
        <f>SUBTOTAL(9,F3:F4)</f>
        <v>2499.0699999999997</v>
      </c>
      <c r="G5" s="23">
        <f>SUBTOTAL(9,G3:G4)</f>
        <v>514.79999999999995</v>
      </c>
      <c r="H5" s="23">
        <f>SUBTOTAL(9,H3:H4)</f>
        <v>185.2</v>
      </c>
      <c r="I5" s="53">
        <f>SUBTOTAL(9,I3:I4)</f>
        <v>-500</v>
      </c>
      <c r="J5" s="23">
        <f>SUBTOTAL(9,J3:J4)</f>
        <v>7186.51</v>
      </c>
      <c r="K5" s="23"/>
    </row>
    <row r="7" spans="1:11" ht="15.75" x14ac:dyDescent="0.25">
      <c r="B7" s="130" t="s">
        <v>19</v>
      </c>
      <c r="C7" s="130"/>
      <c r="D7" s="130"/>
      <c r="E7" s="130"/>
      <c r="F7" s="130"/>
      <c r="G7" s="130"/>
      <c r="H7" s="98"/>
    </row>
    <row r="8" spans="1:11" ht="15.75" x14ac:dyDescent="0.25">
      <c r="B8" s="24" t="s">
        <v>96</v>
      </c>
      <c r="C8" s="24" t="s">
        <v>66</v>
      </c>
      <c r="D8" s="24" t="s">
        <v>26</v>
      </c>
      <c r="E8" s="24" t="s">
        <v>143</v>
      </c>
      <c r="F8" s="24" t="s">
        <v>8</v>
      </c>
      <c r="G8" s="24" t="s">
        <v>97</v>
      </c>
      <c r="H8" s="24" t="s">
        <v>98</v>
      </c>
    </row>
    <row r="9" spans="1:11" ht="15.75" x14ac:dyDescent="0.25">
      <c r="B9" s="61" t="s">
        <v>92</v>
      </c>
      <c r="C9" s="36">
        <f>SUM(D3+I3)</f>
        <v>2921.08</v>
      </c>
      <c r="D9" s="83">
        <f>F3</f>
        <v>668.06</v>
      </c>
      <c r="E9" s="87">
        <f t="shared" ref="D9:F10" si="1">G3</f>
        <v>257.39999999999998</v>
      </c>
      <c r="F9" s="87">
        <f t="shared" si="1"/>
        <v>42.6</v>
      </c>
      <c r="G9" s="88">
        <f>SUM(C9:F9)</f>
        <v>3889.14</v>
      </c>
      <c r="H9" s="2" t="s">
        <v>99</v>
      </c>
    </row>
    <row r="10" spans="1:11" ht="15.75" x14ac:dyDescent="0.25">
      <c r="B10" s="61" t="s">
        <v>94</v>
      </c>
      <c r="C10" s="36">
        <f>SUM(D4+I4)</f>
        <v>1066.3599999999999</v>
      </c>
      <c r="D10" s="83">
        <f t="shared" si="1"/>
        <v>1831.01</v>
      </c>
      <c r="E10" s="87">
        <f t="shared" si="1"/>
        <v>257.39999999999998</v>
      </c>
      <c r="F10" s="87">
        <f t="shared" si="1"/>
        <v>142.6</v>
      </c>
      <c r="G10" s="88">
        <f>SUM(C10:F10)</f>
        <v>3297.37</v>
      </c>
      <c r="H10" s="2" t="s">
        <v>100</v>
      </c>
    </row>
    <row r="11" spans="1:11" ht="15.75" x14ac:dyDescent="0.25">
      <c r="B11" s="29" t="s">
        <v>23</v>
      </c>
      <c r="C11" s="30">
        <f>SUBTOTAL(9,C9:C10)</f>
        <v>3987.4399999999996</v>
      </c>
      <c r="D11" s="30">
        <f>SUBTOTAL(9,D9:D10)</f>
        <v>2499.0699999999997</v>
      </c>
      <c r="E11" s="30">
        <f t="shared" ref="E11" si="2">SUBTOTAL(9,E9:E10)</f>
        <v>514.79999999999995</v>
      </c>
      <c r="F11" s="30">
        <f>SUM(F9:F10)</f>
        <v>185.2</v>
      </c>
      <c r="G11" s="30">
        <f>SUM(G9:G10)</f>
        <v>7186.51</v>
      </c>
      <c r="H11" s="29"/>
    </row>
    <row r="20" spans="8:8" x14ac:dyDescent="0.25">
      <c r="H20">
        <v>300</v>
      </c>
    </row>
  </sheetData>
  <mergeCells count="2">
    <mergeCell ref="B1:K1"/>
    <mergeCell ref="B7:G7"/>
  </mergeCells>
  <pageMargins left="0.511811024" right="0.511811024" top="0.78740157499999996" bottom="0.78740157499999996" header="0.31496062000000002" footer="0.31496062000000002"/>
  <pageSetup paperSize="9" scale="6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Clinica</vt:lpstr>
      <vt:lpstr>FS</vt:lpstr>
      <vt:lpstr>Laboratório</vt:lpstr>
      <vt:lpstr>Fidelidade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João Victor</cp:lastModifiedBy>
  <cp:lastPrinted>2026-08-04T18:42:39Z</cp:lastPrinted>
  <dcterms:created xsi:type="dcterms:W3CDTF">2026-03-25T12:33:25Z</dcterms:created>
  <dcterms:modified xsi:type="dcterms:W3CDTF">2026-08-20T14:13:00Z</dcterms:modified>
</cp:coreProperties>
</file>