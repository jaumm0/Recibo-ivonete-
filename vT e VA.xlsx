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7D8C1833-1660-4D7E-AC3E-A69F810B77BE}" xr6:coauthVersionLast="47" xr6:coauthVersionMax="47" xr10:uidLastSave="{00000000-0000-0000-0000-000000000000}"/>
  <bookViews>
    <workbookView xWindow="-120" yWindow="-120" windowWidth="24240" windowHeight="13020" xr2:uid="{9508EF8F-C66E-4A91-8AB1-7A091814FC2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2" i="1" l="1"/>
  <c r="F79" i="1"/>
  <c r="F78" i="1"/>
  <c r="F80" i="1" s="1"/>
  <c r="E76" i="1"/>
  <c r="E80" i="1" s="1"/>
  <c r="D76" i="1"/>
  <c r="B76" i="1"/>
  <c r="F75" i="1"/>
  <c r="B81" i="1" s="1"/>
  <c r="B84" i="1" s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76" i="1" s="1"/>
  <c r="D58" i="1"/>
  <c r="B58" i="1"/>
  <c r="F57" i="1"/>
  <c r="F56" i="1"/>
  <c r="F55" i="1"/>
  <c r="F54" i="1"/>
  <c r="F53" i="1"/>
  <c r="F52" i="1"/>
  <c r="F51" i="1"/>
  <c r="F58" i="1" s="1"/>
  <c r="F50" i="1"/>
  <c r="F49" i="1"/>
  <c r="F48" i="1"/>
  <c r="F47" i="1"/>
  <c r="E44" i="1"/>
  <c r="D44" i="1"/>
  <c r="B44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B83" i="1" s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44" i="1" s="1"/>
</calcChain>
</file>

<file path=xl/sharedStrings.xml><?xml version="1.0" encoding="utf-8"?>
<sst xmlns="http://schemas.openxmlformats.org/spreadsheetml/2006/main" count="106" uniqueCount="82">
  <si>
    <t>VALE TRANSPORTE 05/2026 25 DIAS TRABALHADOS</t>
  </si>
  <si>
    <t>Funcionários FS</t>
  </si>
  <si>
    <t>VT</t>
  </si>
  <si>
    <t>Aux. Combust</t>
  </si>
  <si>
    <t>VA</t>
  </si>
  <si>
    <t>AJ. CUSTO</t>
  </si>
  <si>
    <t>TOTAL</t>
  </si>
  <si>
    <t xml:space="preserve">Agata Milena Torres Padilha </t>
  </si>
  <si>
    <t xml:space="preserve"> Alysson Matias Mesquita Chaparro</t>
  </si>
  <si>
    <t xml:space="preserve">Ana Carolina Ortiz Villagra </t>
  </si>
  <si>
    <t>Ana Kelly Aquino Moreira</t>
  </si>
  <si>
    <t>Ana Lyvia Ribeiro Medeiros (R$ 3.000,00 + 500,00 AJ)</t>
  </si>
  <si>
    <t>Andressa Silva dos Santos (AC 500,00)</t>
  </si>
  <si>
    <t>Antonio Geraldo de Oliveira</t>
  </si>
  <si>
    <t>Camile dos Santos de Souza(2500,00 + 500,00 AC)</t>
  </si>
  <si>
    <t xml:space="preserve">Clarice Batista Rodrigues </t>
  </si>
  <si>
    <t>Debora Santos Amaral</t>
  </si>
  <si>
    <t xml:space="preserve">Eliza dos Martyces Barbosa </t>
  </si>
  <si>
    <t>x</t>
  </si>
  <si>
    <t>Eloisy Flores de Oliveira</t>
  </si>
  <si>
    <t>Ester Barbosa Muller (R$ 3.000,00 + 500,00 AJ)</t>
  </si>
  <si>
    <t>Francine de Souza Aquino</t>
  </si>
  <si>
    <t>Gabriel Gomes da Silva</t>
  </si>
  <si>
    <t>Geovana Ferreira Benitez</t>
  </si>
  <si>
    <t>Geovanna Silva de Oliveira</t>
  </si>
  <si>
    <t xml:space="preserve">Graciela Rodrigues Ferreira Morais </t>
  </si>
  <si>
    <t>Gustavo Rodrigues Acosta AC 200,00)</t>
  </si>
  <si>
    <t xml:space="preserve">Joao Victor dos Anjos Vasques Garcia (R$2026,00 + 4vt  12/12) </t>
  </si>
  <si>
    <t>José Rodrigo da Mata Escobar (AC 300,00)</t>
  </si>
  <si>
    <t xml:space="preserve">Kellson Nunes Rocha (R$ 6.517,86) </t>
  </si>
  <si>
    <t>Leticia Rodrigues Moura</t>
  </si>
  <si>
    <t>Lucymeire Garcia Vasconcelos</t>
  </si>
  <si>
    <t>Luis Felype de Sousa Galan(contrato congelado - exército)</t>
  </si>
  <si>
    <t xml:space="preserve">Nathalia de Souza Nascimento </t>
  </si>
  <si>
    <t>Neide de Jesus Martins(inss)</t>
  </si>
  <si>
    <t>Pamela Olazar Souza Chamorro</t>
  </si>
  <si>
    <t xml:space="preserve">Paulo Cesar Rodrigues </t>
  </si>
  <si>
    <t>Raissa da Silva Gondin</t>
  </si>
  <si>
    <t xml:space="preserve">Wislla Brito da Costa </t>
  </si>
  <si>
    <t>Yasmin Avelar Ajala</t>
  </si>
  <si>
    <t>Nataly dos Santos Arce</t>
  </si>
  <si>
    <t xml:space="preserve">Polyana Candido de Araujo </t>
  </si>
  <si>
    <t>Yana Iasmin Cardoso Porto</t>
  </si>
  <si>
    <t>Carmem Gonçalves Boaventura</t>
  </si>
  <si>
    <t>Jeniffer Eduarda Oliveira Soares</t>
  </si>
  <si>
    <t xml:space="preserve">Ivonete Donat </t>
  </si>
  <si>
    <t>Funcionários Clínica</t>
  </si>
  <si>
    <t xml:space="preserve">Caio Felipe Vieira Palacio </t>
  </si>
  <si>
    <t>Camila Name (Dentista - contrato)</t>
  </si>
  <si>
    <t>Jean Lucas Freitas Ferreira</t>
  </si>
  <si>
    <t>Jonathan Correa de Britz</t>
  </si>
  <si>
    <t>Mirian de Araujo Souza</t>
  </si>
  <si>
    <t>Natalia Lima Dantas</t>
  </si>
  <si>
    <t>Pollyana Rodrigues (Dentista - contrato)</t>
  </si>
  <si>
    <t>Sergio Gabriel Ruiz Benitez</t>
  </si>
  <si>
    <t>Célia Lopes Brites Prado</t>
  </si>
  <si>
    <t xml:space="preserve">Linda Barbosa da Silva </t>
  </si>
  <si>
    <t>Victoria Taborda Branco</t>
  </si>
  <si>
    <t xml:space="preserve">Funcionários laboratório </t>
  </si>
  <si>
    <t>Hellen Cris Ocampos de Moura (inicio 05/02)</t>
  </si>
  <si>
    <t>Inacia Troche Ojeda</t>
  </si>
  <si>
    <t>Isabel (R$ 100,00 por diaria - domingos)</t>
  </si>
  <si>
    <t>Isadora de Souza Cunha</t>
  </si>
  <si>
    <t xml:space="preserve">Jessica (inicio 14/02) </t>
  </si>
  <si>
    <t>Joao Rafael Vieira Antal</t>
  </si>
  <si>
    <t>Katiuse Goncalves de Moura</t>
  </si>
  <si>
    <t xml:space="preserve">Keila Cardoso Andrade Gimenez </t>
  </si>
  <si>
    <t>Kariny de Souza dos Santos (inicio 19/01)</t>
  </si>
  <si>
    <t>Kellson Nunes</t>
  </si>
  <si>
    <t>Luciano Akira Kamada</t>
  </si>
  <si>
    <t>Richard Novaes da silva</t>
  </si>
  <si>
    <t>Tatiane Rocha Francelino 12/01</t>
  </si>
  <si>
    <t>Victoria Karoline Figueiredo Lopes(29/01)</t>
  </si>
  <si>
    <t>Vitoria Halmenschlager Nogueira</t>
  </si>
  <si>
    <t>Ana Lucia Pereira da Silva</t>
  </si>
  <si>
    <t>Funcionários Fidelidade</t>
  </si>
  <si>
    <t>Claudio Henrique de J.Carneiro (AC 300,00)</t>
  </si>
  <si>
    <t>Juvenal Brito Ferreira (AC 400,00)</t>
  </si>
  <si>
    <t>39 funcionário pegam VT e AL</t>
  </si>
  <si>
    <t xml:space="preserve">10 funcionário pegam ajuda de custo </t>
  </si>
  <si>
    <t xml:space="preserve">01 funcionário pega VT AL e ajudad e custo </t>
  </si>
  <si>
    <t xml:space="preserve">Total em vale transporte e ajuda de custo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</si>
</sst>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9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44" fontId="6" fillId="4" borderId="2" xfId="1" applyFont="1" applyFill="1" applyBorder="1"/>
    <xf numFmtId="44" fontId="0" fillId="0" borderId="2" xfId="1" applyFont="1" applyBorder="1"/>
    <xf numFmtId="164" fontId="0" fillId="3" borderId="2" xfId="0" applyNumberFormat="1" applyFill="1" applyBorder="1"/>
    <xf numFmtId="0" fontId="5" fillId="0" borderId="2" xfId="0" applyFont="1" applyBorder="1" applyAlignment="1">
      <alignment horizontal="left" vertical="center"/>
    </xf>
    <xf numFmtId="0" fontId="5" fillId="5" borderId="2" xfId="0" applyFont="1" applyFill="1" applyBorder="1" applyAlignment="1">
      <alignment vertical="center"/>
    </xf>
    <xf numFmtId="44" fontId="5" fillId="0" borderId="3" xfId="2" applyFont="1" applyFill="1" applyBorder="1" applyAlignment="1">
      <alignment vertical="center"/>
    </xf>
    <xf numFmtId="44" fontId="5" fillId="0" borderId="2" xfId="2" applyFont="1" applyFill="1" applyBorder="1" applyAlignment="1">
      <alignment vertical="center"/>
    </xf>
    <xf numFmtId="44" fontId="0" fillId="4" borderId="2" xfId="1" applyFont="1" applyFill="1" applyBorder="1"/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44" fontId="5" fillId="4" borderId="3" xfId="2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44" fontId="5" fillId="3" borderId="3" xfId="1" applyFont="1" applyFill="1" applyBorder="1" applyAlignment="1">
      <alignment vertical="center"/>
    </xf>
    <xf numFmtId="44" fontId="5" fillId="3" borderId="2" xfId="1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44" fontId="5" fillId="0" borderId="3" xfId="1" applyFont="1" applyFill="1" applyBorder="1" applyAlignment="1">
      <alignment vertical="center"/>
    </xf>
    <xf numFmtId="44" fontId="5" fillId="0" borderId="2" xfId="1" applyFont="1" applyFill="1" applyBorder="1" applyAlignment="1">
      <alignment vertical="center"/>
    </xf>
    <xf numFmtId="0" fontId="5" fillId="0" borderId="2" xfId="0" applyFont="1" applyBorder="1"/>
    <xf numFmtId="44" fontId="6" fillId="3" borderId="3" xfId="2" applyFont="1" applyFill="1" applyBorder="1"/>
    <xf numFmtId="44" fontId="6" fillId="3" borderId="2" xfId="1" applyFont="1" applyFill="1" applyBorder="1" applyAlignment="1">
      <alignment vertical="center"/>
    </xf>
    <xf numFmtId="0" fontId="7" fillId="3" borderId="2" xfId="0" applyFont="1" applyFill="1" applyBorder="1"/>
    <xf numFmtId="44" fontId="6" fillId="3" borderId="2" xfId="1" applyFont="1" applyFill="1" applyBorder="1"/>
    <xf numFmtId="44" fontId="6" fillId="3" borderId="2" xfId="1" applyFont="1" applyFill="1" applyBorder="1" applyAlignment="1">
      <alignment horizontal="center" vertical="center"/>
    </xf>
    <xf numFmtId="44" fontId="8" fillId="3" borderId="2" xfId="1" applyFont="1" applyFill="1" applyBorder="1"/>
    <xf numFmtId="0" fontId="0" fillId="0" borderId="2" xfId="0" applyBorder="1"/>
    <xf numFmtId="44" fontId="6" fillId="4" borderId="3" xfId="2" applyFont="1" applyFill="1" applyBorder="1"/>
    <xf numFmtId="44" fontId="6" fillId="4" borderId="2" xfId="1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4" fontId="4" fillId="2" borderId="3" xfId="2" applyFont="1" applyFill="1" applyBorder="1" applyAlignment="1">
      <alignment vertical="center"/>
    </xf>
    <xf numFmtId="44" fontId="4" fillId="2" borderId="2" xfId="2" applyFont="1" applyFill="1" applyBorder="1" applyAlignment="1">
      <alignment vertical="center"/>
    </xf>
    <xf numFmtId="0" fontId="5" fillId="3" borderId="5" xfId="0" applyFont="1" applyFill="1" applyBorder="1" applyAlignment="1">
      <alignment horizontal="left" vertical="center"/>
    </xf>
    <xf numFmtId="44" fontId="5" fillId="3" borderId="3" xfId="1" applyFont="1" applyFill="1" applyBorder="1" applyAlignment="1">
      <alignment horizontal="center" vertical="center"/>
    </xf>
    <xf numFmtId="44" fontId="5" fillId="3" borderId="2" xfId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left" vertical="center"/>
    </xf>
    <xf numFmtId="44" fontId="6" fillId="3" borderId="2" xfId="2" applyFont="1" applyFill="1" applyBorder="1"/>
    <xf numFmtId="44" fontId="0" fillId="3" borderId="2" xfId="0" applyNumberFormat="1" applyFill="1" applyBorder="1"/>
    <xf numFmtId="0" fontId="8" fillId="3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44" fontId="2" fillId="2" borderId="2" xfId="0" applyNumberFormat="1" applyFont="1" applyFill="1" applyBorder="1"/>
    <xf numFmtId="0" fontId="5" fillId="3" borderId="2" xfId="0" applyFont="1" applyFill="1" applyBorder="1"/>
    <xf numFmtId="44" fontId="6" fillId="3" borderId="3" xfId="1" applyFont="1" applyFill="1" applyBorder="1"/>
    <xf numFmtId="44" fontId="10" fillId="3" borderId="2" xfId="0" applyNumberFormat="1" applyFont="1" applyFill="1" applyBorder="1"/>
    <xf numFmtId="44" fontId="6" fillId="3" borderId="3" xfId="1" applyFont="1" applyFill="1" applyBorder="1" applyAlignment="1">
      <alignment horizontal="center" vertical="center"/>
    </xf>
    <xf numFmtId="16" fontId="6" fillId="0" borderId="2" xfId="0" applyNumberFormat="1" applyFont="1" applyBorder="1"/>
    <xf numFmtId="16" fontId="11" fillId="3" borderId="3" xfId="0" applyNumberFormat="1" applyFont="1" applyFill="1" applyBorder="1"/>
    <xf numFmtId="0" fontId="0" fillId="3" borderId="0" xfId="0" applyFill="1"/>
    <xf numFmtId="0" fontId="4" fillId="3" borderId="5" xfId="0" applyFont="1" applyFill="1" applyBorder="1" applyAlignment="1">
      <alignment horizontal="center" vertical="center"/>
    </xf>
    <xf numFmtId="44" fontId="0" fillId="0" borderId="2" xfId="1" applyFont="1" applyFill="1" applyBorder="1"/>
    <xf numFmtId="164" fontId="0" fillId="0" borderId="2" xfId="0" applyNumberFormat="1" applyBorder="1"/>
    <xf numFmtId="164" fontId="0" fillId="0" borderId="0" xfId="0" applyNumberFormat="1"/>
    <xf numFmtId="44" fontId="0" fillId="0" borderId="0" xfId="0" applyNumberFormat="1"/>
    <xf numFmtId="44" fontId="0" fillId="0" borderId="2" xfId="0" applyNumberFormat="1" applyBorder="1"/>
  </cellXfs>
  <cellStyles count="3">
    <cellStyle name="Moeda" xfId="1" builtinId="4"/>
    <cellStyle name="Moeda 2" xfId="2" xr:uid="{859A2E03-642A-4B29-ADEA-B9C379B5246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863E1-00BB-48C0-9F26-56F463A736A8}">
  <dimension ref="A1:I88"/>
  <sheetViews>
    <sheetView tabSelected="1" workbookViewId="0">
      <selection activeCell="A10" sqref="A10"/>
    </sheetView>
  </sheetViews>
  <sheetFormatPr defaultRowHeight="15" x14ac:dyDescent="0.25"/>
  <cols>
    <col min="1" max="1" width="61.5703125" bestFit="1" customWidth="1"/>
    <col min="2" max="2" width="13.5703125" bestFit="1" customWidth="1"/>
    <col min="3" max="3" width="13.5703125" customWidth="1"/>
    <col min="4" max="5" width="13.5703125" bestFit="1" customWidth="1"/>
    <col min="6" max="6" width="14.7109375" bestFit="1" customWidth="1"/>
    <col min="8" max="9" width="13.28515625" bestFit="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ht="15.75" x14ac:dyDescent="0.25">
      <c r="A2" s="2" t="s">
        <v>1</v>
      </c>
      <c r="B2" s="3" t="s">
        <v>2</v>
      </c>
      <c r="C2" s="3" t="s">
        <v>3</v>
      </c>
      <c r="D2" s="2" t="s">
        <v>4</v>
      </c>
      <c r="E2" s="2" t="s">
        <v>5</v>
      </c>
      <c r="F2" s="2" t="s">
        <v>6</v>
      </c>
    </row>
    <row r="3" spans="1:6" ht="15.75" x14ac:dyDescent="0.25">
      <c r="A3" s="4" t="s">
        <v>7</v>
      </c>
      <c r="B3" s="5"/>
      <c r="C3" s="5"/>
      <c r="D3" s="5">
        <v>198</v>
      </c>
      <c r="E3" s="6"/>
      <c r="F3" s="7">
        <f>B3+D3+E3</f>
        <v>198</v>
      </c>
    </row>
    <row r="4" spans="1:6" ht="15.75" x14ac:dyDescent="0.25">
      <c r="A4" s="8" t="s">
        <v>8</v>
      </c>
      <c r="B4" s="5"/>
      <c r="C4" s="5"/>
      <c r="D4" s="5">
        <v>198</v>
      </c>
      <c r="E4" s="6"/>
      <c r="F4" s="7">
        <f t="shared" ref="F4:F42" si="0">B4+D4+E4</f>
        <v>198</v>
      </c>
    </row>
    <row r="5" spans="1:6" ht="15.75" x14ac:dyDescent="0.25">
      <c r="A5" s="4" t="s">
        <v>9</v>
      </c>
      <c r="B5" s="5"/>
      <c r="C5" s="5"/>
      <c r="D5" s="5">
        <v>198</v>
      </c>
      <c r="E5" s="6"/>
      <c r="F5" s="7">
        <f t="shared" si="0"/>
        <v>198</v>
      </c>
    </row>
    <row r="6" spans="1:6" ht="15.75" x14ac:dyDescent="0.25">
      <c r="A6" s="4" t="s">
        <v>10</v>
      </c>
      <c r="B6" s="5"/>
      <c r="C6" s="5"/>
      <c r="D6" s="5">
        <v>198</v>
      </c>
      <c r="E6" s="6"/>
      <c r="F6" s="7">
        <f t="shared" si="0"/>
        <v>198</v>
      </c>
    </row>
    <row r="7" spans="1:6" ht="15.75" x14ac:dyDescent="0.25">
      <c r="A7" s="9" t="s">
        <v>11</v>
      </c>
      <c r="B7" s="10"/>
      <c r="C7" s="10"/>
      <c r="D7" s="11"/>
      <c r="E7" s="12"/>
      <c r="F7" s="7">
        <f t="shared" si="0"/>
        <v>0</v>
      </c>
    </row>
    <row r="8" spans="1:6" ht="15.75" x14ac:dyDescent="0.25">
      <c r="A8" s="4" t="s">
        <v>12</v>
      </c>
      <c r="B8" s="10"/>
      <c r="C8" s="10"/>
      <c r="D8" s="11"/>
      <c r="E8" s="12">
        <v>500</v>
      </c>
      <c r="F8" s="7">
        <f t="shared" si="0"/>
        <v>500</v>
      </c>
    </row>
    <row r="9" spans="1:6" ht="15.75" x14ac:dyDescent="0.25">
      <c r="A9" s="4" t="s">
        <v>13</v>
      </c>
      <c r="B9" s="10"/>
      <c r="C9" s="10"/>
      <c r="D9" s="11"/>
      <c r="E9" s="12">
        <v>300</v>
      </c>
      <c r="F9" s="7">
        <f t="shared" si="0"/>
        <v>300</v>
      </c>
    </row>
    <row r="10" spans="1:6" ht="15.75" x14ac:dyDescent="0.25">
      <c r="A10" s="4" t="s">
        <v>14</v>
      </c>
      <c r="B10" s="10"/>
      <c r="C10" s="10"/>
      <c r="D10" s="11"/>
      <c r="E10" s="12">
        <v>500</v>
      </c>
      <c r="F10" s="7">
        <f t="shared" si="0"/>
        <v>500</v>
      </c>
    </row>
    <row r="11" spans="1:6" ht="15.75" x14ac:dyDescent="0.25">
      <c r="A11" s="13" t="s">
        <v>15</v>
      </c>
      <c r="B11" s="5"/>
      <c r="C11" s="5"/>
      <c r="D11" s="5">
        <v>198</v>
      </c>
      <c r="E11" s="6"/>
      <c r="F11" s="7">
        <f t="shared" si="0"/>
        <v>198</v>
      </c>
    </row>
    <row r="12" spans="1:6" ht="15.75" x14ac:dyDescent="0.25">
      <c r="A12" s="13" t="s">
        <v>16</v>
      </c>
      <c r="B12" s="5"/>
      <c r="C12" s="5"/>
      <c r="D12" s="5">
        <v>198</v>
      </c>
      <c r="E12" s="6"/>
      <c r="F12" s="7">
        <f t="shared" si="0"/>
        <v>198</v>
      </c>
    </row>
    <row r="13" spans="1:6" ht="15.75" x14ac:dyDescent="0.25">
      <c r="A13" s="14" t="s">
        <v>17</v>
      </c>
      <c r="B13" s="15"/>
      <c r="C13" s="15" t="s">
        <v>18</v>
      </c>
      <c r="D13" s="5">
        <v>198</v>
      </c>
      <c r="E13" s="6"/>
      <c r="F13" s="7">
        <f t="shared" si="0"/>
        <v>198</v>
      </c>
    </row>
    <row r="14" spans="1:6" ht="15.75" x14ac:dyDescent="0.25">
      <c r="A14" s="14" t="s">
        <v>19</v>
      </c>
      <c r="B14" s="15"/>
      <c r="C14" s="15"/>
      <c r="D14" s="5">
        <v>198</v>
      </c>
      <c r="E14" s="6"/>
      <c r="F14" s="7">
        <f t="shared" si="0"/>
        <v>198</v>
      </c>
    </row>
    <row r="15" spans="1:6" ht="15.75" x14ac:dyDescent="0.25">
      <c r="A15" s="16" t="s">
        <v>20</v>
      </c>
      <c r="B15" s="10"/>
      <c r="C15" s="10"/>
      <c r="D15" s="11"/>
      <c r="E15" s="12">
        <v>500</v>
      </c>
      <c r="F15" s="7">
        <f t="shared" si="0"/>
        <v>500</v>
      </c>
    </row>
    <row r="16" spans="1:6" ht="15.75" x14ac:dyDescent="0.25">
      <c r="A16" s="13" t="s">
        <v>21</v>
      </c>
      <c r="B16" s="5"/>
      <c r="C16" s="5"/>
      <c r="D16" s="5">
        <v>198</v>
      </c>
      <c r="E16" s="6"/>
      <c r="F16" s="7">
        <f t="shared" si="0"/>
        <v>198</v>
      </c>
    </row>
    <row r="17" spans="1:6" ht="15.75" x14ac:dyDescent="0.25">
      <c r="A17" s="13" t="s">
        <v>22</v>
      </c>
      <c r="B17" s="5"/>
      <c r="C17" s="5"/>
      <c r="D17" s="5">
        <v>198</v>
      </c>
      <c r="E17" s="6"/>
      <c r="F17" s="7">
        <f t="shared" si="0"/>
        <v>198</v>
      </c>
    </row>
    <row r="18" spans="1:6" ht="15.75" x14ac:dyDescent="0.25">
      <c r="A18" s="13" t="s">
        <v>23</v>
      </c>
      <c r="B18" s="5"/>
      <c r="C18" s="5"/>
      <c r="D18" s="5">
        <v>198</v>
      </c>
      <c r="E18" s="6"/>
      <c r="F18" s="7">
        <f t="shared" si="0"/>
        <v>198</v>
      </c>
    </row>
    <row r="19" spans="1:6" ht="15.75" x14ac:dyDescent="0.25">
      <c r="A19" s="13" t="s">
        <v>24</v>
      </c>
      <c r="B19" s="5"/>
      <c r="C19" s="5"/>
      <c r="D19" s="5">
        <v>198</v>
      </c>
      <c r="E19" s="6"/>
      <c r="F19" s="7">
        <f t="shared" si="0"/>
        <v>198</v>
      </c>
    </row>
    <row r="20" spans="1:6" ht="15.75" x14ac:dyDescent="0.25">
      <c r="A20" s="17" t="s">
        <v>25</v>
      </c>
      <c r="B20" s="18"/>
      <c r="C20" s="18"/>
      <c r="D20" s="19"/>
      <c r="E20" s="6"/>
      <c r="F20" s="7">
        <f t="shared" si="0"/>
        <v>0</v>
      </c>
    </row>
    <row r="21" spans="1:6" ht="15.75" x14ac:dyDescent="0.25">
      <c r="A21" s="13" t="s">
        <v>26</v>
      </c>
      <c r="B21" s="5"/>
      <c r="C21" s="5"/>
      <c r="D21" s="5">
        <v>198</v>
      </c>
      <c r="E21" s="12">
        <v>200</v>
      </c>
      <c r="F21" s="7">
        <f t="shared" si="0"/>
        <v>398</v>
      </c>
    </row>
    <row r="22" spans="1:6" ht="15.75" x14ac:dyDescent="0.25">
      <c r="A22" s="9" t="s">
        <v>27</v>
      </c>
      <c r="B22" s="5"/>
      <c r="C22" s="5" t="s">
        <v>18</v>
      </c>
      <c r="D22" s="5">
        <v>198</v>
      </c>
      <c r="E22" s="6"/>
      <c r="F22" s="7">
        <f t="shared" si="0"/>
        <v>198</v>
      </c>
    </row>
    <row r="23" spans="1:6" ht="15.75" x14ac:dyDescent="0.25">
      <c r="A23" s="20" t="s">
        <v>28</v>
      </c>
      <c r="B23" s="21"/>
      <c r="C23" s="21"/>
      <c r="D23" s="22"/>
      <c r="E23" s="12">
        <v>300</v>
      </c>
      <c r="F23" s="7">
        <f t="shared" si="0"/>
        <v>300</v>
      </c>
    </row>
    <row r="24" spans="1:6" ht="15.75" x14ac:dyDescent="0.25">
      <c r="A24" s="17" t="s">
        <v>29</v>
      </c>
      <c r="B24" s="21"/>
      <c r="C24" s="21"/>
      <c r="D24" s="22"/>
      <c r="E24" s="6"/>
      <c r="F24" s="7">
        <f t="shared" si="0"/>
        <v>0</v>
      </c>
    </row>
    <row r="25" spans="1:6" ht="15.75" x14ac:dyDescent="0.25">
      <c r="A25" s="23" t="s">
        <v>30</v>
      </c>
      <c r="B25" s="5"/>
      <c r="C25" s="5"/>
      <c r="D25" s="5">
        <v>198</v>
      </c>
      <c r="E25" s="6"/>
      <c r="F25" s="7">
        <f t="shared" si="0"/>
        <v>198</v>
      </c>
    </row>
    <row r="26" spans="1:6" ht="15.75" x14ac:dyDescent="0.25">
      <c r="A26" s="23" t="s">
        <v>31</v>
      </c>
      <c r="B26" s="5"/>
      <c r="C26" s="5"/>
      <c r="D26" s="5">
        <v>198</v>
      </c>
      <c r="E26" s="6"/>
      <c r="F26" s="7">
        <f t="shared" si="0"/>
        <v>198</v>
      </c>
    </row>
    <row r="27" spans="1:6" ht="15.75" x14ac:dyDescent="0.25">
      <c r="A27" s="13" t="s">
        <v>32</v>
      </c>
      <c r="B27" s="24"/>
      <c r="C27" s="24"/>
      <c r="D27" s="25"/>
      <c r="E27" s="6"/>
      <c r="F27" s="7">
        <f t="shared" si="0"/>
        <v>0</v>
      </c>
    </row>
    <row r="28" spans="1:6" ht="15.75" x14ac:dyDescent="0.25">
      <c r="A28" s="13" t="s">
        <v>33</v>
      </c>
      <c r="B28" s="10"/>
      <c r="C28" s="10"/>
      <c r="D28" s="11"/>
      <c r="E28" s="12">
        <v>163.6</v>
      </c>
      <c r="F28" s="7">
        <f t="shared" si="0"/>
        <v>163.6</v>
      </c>
    </row>
    <row r="29" spans="1:6" ht="15.75" x14ac:dyDescent="0.25">
      <c r="A29" s="26" t="s">
        <v>34</v>
      </c>
      <c r="B29" s="27"/>
      <c r="C29" s="27"/>
      <c r="D29" s="28"/>
      <c r="E29" s="29"/>
      <c r="F29" s="7">
        <f t="shared" si="0"/>
        <v>0</v>
      </c>
    </row>
    <row r="30" spans="1:6" ht="15.75" x14ac:dyDescent="0.25">
      <c r="A30" s="13" t="s">
        <v>35</v>
      </c>
      <c r="B30" s="5"/>
      <c r="C30" s="5"/>
      <c r="D30" s="5">
        <v>198</v>
      </c>
      <c r="E30" s="6"/>
      <c r="F30" s="7">
        <f t="shared" si="0"/>
        <v>198</v>
      </c>
    </row>
    <row r="31" spans="1:6" ht="15.75" x14ac:dyDescent="0.25">
      <c r="A31" s="20" t="s">
        <v>36</v>
      </c>
      <c r="B31" s="30"/>
      <c r="C31" s="30"/>
      <c r="D31" s="30"/>
      <c r="E31" s="12">
        <v>300</v>
      </c>
      <c r="F31" s="7">
        <f t="shared" si="0"/>
        <v>300</v>
      </c>
    </row>
    <row r="32" spans="1:6" ht="15.75" x14ac:dyDescent="0.25">
      <c r="A32" s="20" t="s">
        <v>37</v>
      </c>
      <c r="B32" s="5"/>
      <c r="C32" s="5"/>
      <c r="D32" s="5">
        <v>198</v>
      </c>
      <c r="E32" s="6"/>
      <c r="F32" s="7">
        <f t="shared" si="0"/>
        <v>198</v>
      </c>
    </row>
    <row r="33" spans="1:6" ht="15.75" x14ac:dyDescent="0.25">
      <c r="A33" s="4" t="s">
        <v>38</v>
      </c>
      <c r="B33" s="5"/>
      <c r="C33" s="5"/>
      <c r="D33" s="5">
        <v>198</v>
      </c>
      <c r="E33" s="6"/>
      <c r="F33" s="7">
        <f t="shared" si="0"/>
        <v>198</v>
      </c>
    </row>
    <row r="34" spans="1:6" ht="15.75" x14ac:dyDescent="0.25">
      <c r="A34" s="4" t="s">
        <v>39</v>
      </c>
      <c r="B34" s="5"/>
      <c r="C34" s="5"/>
      <c r="D34" s="5">
        <v>198</v>
      </c>
      <c r="E34" s="6"/>
      <c r="F34" s="7">
        <f t="shared" si="0"/>
        <v>198</v>
      </c>
    </row>
    <row r="35" spans="1:6" ht="15.75" x14ac:dyDescent="0.25">
      <c r="A35" s="4" t="s">
        <v>40</v>
      </c>
      <c r="B35" s="5" t="s">
        <v>18</v>
      </c>
      <c r="C35" s="5"/>
      <c r="D35" s="5">
        <v>198</v>
      </c>
      <c r="E35" s="6"/>
      <c r="F35" s="7" t="e">
        <f t="shared" si="0"/>
        <v>#VALUE!</v>
      </c>
    </row>
    <row r="36" spans="1:6" ht="15.75" x14ac:dyDescent="0.25">
      <c r="A36" s="4" t="s">
        <v>41</v>
      </c>
      <c r="B36" s="5"/>
      <c r="C36" s="5" t="s">
        <v>18</v>
      </c>
      <c r="D36" s="5">
        <v>198</v>
      </c>
      <c r="E36" s="6"/>
      <c r="F36" s="7">
        <f t="shared" si="0"/>
        <v>198</v>
      </c>
    </row>
    <row r="37" spans="1:6" ht="15.75" x14ac:dyDescent="0.25">
      <c r="A37" s="4" t="s">
        <v>42</v>
      </c>
      <c r="B37" s="5"/>
      <c r="C37" s="5"/>
      <c r="D37" s="5">
        <v>198</v>
      </c>
      <c r="E37" s="6"/>
      <c r="F37" s="7">
        <f t="shared" si="0"/>
        <v>198</v>
      </c>
    </row>
    <row r="38" spans="1:6" ht="15.75" x14ac:dyDescent="0.25">
      <c r="A38" s="4" t="s">
        <v>43</v>
      </c>
      <c r="B38" s="5"/>
      <c r="C38" s="5"/>
      <c r="D38" s="5">
        <v>198</v>
      </c>
      <c r="E38" s="6"/>
      <c r="F38" s="7">
        <f t="shared" si="0"/>
        <v>198</v>
      </c>
    </row>
    <row r="39" spans="1:6" ht="15.75" x14ac:dyDescent="0.25">
      <c r="A39" s="4" t="s">
        <v>44</v>
      </c>
      <c r="B39" s="5" t="s">
        <v>18</v>
      </c>
      <c r="C39" s="5"/>
      <c r="D39" s="5">
        <v>198</v>
      </c>
      <c r="E39" s="6"/>
      <c r="F39" s="7" t="e">
        <f t="shared" si="0"/>
        <v>#VALUE!</v>
      </c>
    </row>
    <row r="40" spans="1:6" ht="15.75" x14ac:dyDescent="0.25">
      <c r="A40" s="4" t="s">
        <v>45</v>
      </c>
      <c r="B40" s="5"/>
      <c r="C40" s="5"/>
      <c r="D40" s="5">
        <v>198</v>
      </c>
      <c r="E40" s="6"/>
      <c r="F40" s="7">
        <f t="shared" si="0"/>
        <v>198</v>
      </c>
    </row>
    <row r="41" spans="1:6" ht="15.75" x14ac:dyDescent="0.25">
      <c r="A41" s="4"/>
      <c r="B41" s="5"/>
      <c r="C41" s="5"/>
      <c r="D41" s="5">
        <v>198</v>
      </c>
      <c r="E41" s="6"/>
      <c r="F41" s="7">
        <f t="shared" si="0"/>
        <v>198</v>
      </c>
    </row>
    <row r="42" spans="1:6" ht="15.75" x14ac:dyDescent="0.25">
      <c r="A42" s="4"/>
      <c r="B42" s="5"/>
      <c r="C42" s="5"/>
      <c r="D42" s="5">
        <v>198</v>
      </c>
      <c r="E42" s="6"/>
      <c r="F42" s="7">
        <f t="shared" si="0"/>
        <v>198</v>
      </c>
    </row>
    <row r="43" spans="1:6" ht="15.75" x14ac:dyDescent="0.25">
      <c r="A43" s="4"/>
      <c r="B43" s="31"/>
      <c r="C43" s="31"/>
      <c r="D43" s="32"/>
      <c r="E43" s="6"/>
      <c r="F43" s="7"/>
    </row>
    <row r="44" spans="1:6" ht="15.75" x14ac:dyDescent="0.25">
      <c r="A44" s="33" t="s">
        <v>6</v>
      </c>
      <c r="B44" s="34">
        <f>SUM(B3:B39)</f>
        <v>0</v>
      </c>
      <c r="C44" s="34"/>
      <c r="D44" s="35">
        <f>SUM(D3:D39)</f>
        <v>4950</v>
      </c>
      <c r="E44" s="35">
        <f>SUM(E3:E34)</f>
        <v>2763.6</v>
      </c>
      <c r="F44" s="35" t="e">
        <f>SUM(F3:F43)</f>
        <v>#VALUE!</v>
      </c>
    </row>
    <row r="45" spans="1:6" ht="15.75" x14ac:dyDescent="0.25">
      <c r="A45" s="2" t="s">
        <v>46</v>
      </c>
      <c r="B45" s="3" t="s">
        <v>2</v>
      </c>
      <c r="C45" s="3" t="s">
        <v>3</v>
      </c>
      <c r="D45" s="2" t="s">
        <v>4</v>
      </c>
      <c r="E45" s="2" t="s">
        <v>5</v>
      </c>
      <c r="F45" s="2" t="s">
        <v>6</v>
      </c>
    </row>
    <row r="46" spans="1:6" ht="15.75" x14ac:dyDescent="0.25">
      <c r="A46" s="36" t="s">
        <v>43</v>
      </c>
      <c r="B46" s="37"/>
      <c r="C46" s="37"/>
      <c r="D46" s="38">
        <v>198</v>
      </c>
      <c r="E46" s="2"/>
      <c r="F46" s="2"/>
    </row>
    <row r="47" spans="1:6" ht="15.75" x14ac:dyDescent="0.25">
      <c r="A47" s="39" t="s">
        <v>47</v>
      </c>
      <c r="B47" s="40"/>
      <c r="C47" s="40"/>
      <c r="D47" s="25"/>
      <c r="E47" s="30"/>
      <c r="F47" s="41">
        <f>B47+D47+E47</f>
        <v>0</v>
      </c>
    </row>
    <row r="48" spans="1:6" ht="15.75" x14ac:dyDescent="0.25">
      <c r="A48" s="20" t="s">
        <v>48</v>
      </c>
      <c r="B48" s="40"/>
      <c r="C48" s="40"/>
      <c r="D48" s="25"/>
      <c r="E48" s="30"/>
      <c r="F48" s="41">
        <f t="shared" ref="F48:F57" si="1">B48+D48+E48</f>
        <v>0</v>
      </c>
    </row>
    <row r="49" spans="1:6" ht="15.75" x14ac:dyDescent="0.25">
      <c r="A49" s="42" t="s">
        <v>49</v>
      </c>
      <c r="B49" s="40"/>
      <c r="C49" s="40"/>
      <c r="D49" s="25"/>
      <c r="E49" s="30"/>
      <c r="F49" s="41">
        <f t="shared" si="1"/>
        <v>0</v>
      </c>
    </row>
    <row r="50" spans="1:6" ht="15.75" x14ac:dyDescent="0.25">
      <c r="A50" s="43" t="s">
        <v>50</v>
      </c>
      <c r="B50" s="40"/>
      <c r="C50" s="40"/>
      <c r="D50" s="25">
        <v>198</v>
      </c>
      <c r="E50" s="30"/>
      <c r="F50" s="41">
        <f t="shared" si="1"/>
        <v>198</v>
      </c>
    </row>
    <row r="51" spans="1:6" ht="15.75" x14ac:dyDescent="0.25">
      <c r="A51" s="43" t="s">
        <v>51</v>
      </c>
      <c r="B51" s="40"/>
      <c r="C51" s="40"/>
      <c r="D51" s="25">
        <v>198</v>
      </c>
      <c r="E51" s="30"/>
      <c r="F51" s="41">
        <f t="shared" si="1"/>
        <v>198</v>
      </c>
    </row>
    <row r="52" spans="1:6" ht="15.75" x14ac:dyDescent="0.25">
      <c r="A52" s="43" t="s">
        <v>52</v>
      </c>
      <c r="B52" s="40"/>
      <c r="C52" s="40"/>
      <c r="D52" s="25">
        <v>198</v>
      </c>
      <c r="E52" s="30"/>
      <c r="F52" s="41">
        <f t="shared" si="1"/>
        <v>198</v>
      </c>
    </row>
    <row r="53" spans="1:6" ht="15.75" x14ac:dyDescent="0.25">
      <c r="A53" s="44" t="s">
        <v>53</v>
      </c>
      <c r="B53" s="40"/>
      <c r="C53" s="40"/>
      <c r="D53" s="25"/>
      <c r="E53" s="30"/>
      <c r="F53" s="41">
        <f t="shared" si="1"/>
        <v>0</v>
      </c>
    </row>
    <row r="54" spans="1:6" ht="15.75" x14ac:dyDescent="0.25">
      <c r="A54" s="43" t="s">
        <v>54</v>
      </c>
      <c r="B54" s="40"/>
      <c r="C54" s="40"/>
      <c r="D54" s="25">
        <v>198</v>
      </c>
      <c r="E54" s="30"/>
      <c r="F54" s="41">
        <f t="shared" si="1"/>
        <v>198</v>
      </c>
    </row>
    <row r="55" spans="1:6" ht="15.75" x14ac:dyDescent="0.25">
      <c r="A55" s="4" t="s">
        <v>55</v>
      </c>
      <c r="B55" s="40"/>
      <c r="C55" s="40"/>
      <c r="D55" s="25">
        <v>198</v>
      </c>
      <c r="E55" s="30"/>
      <c r="F55" s="41">
        <f t="shared" si="1"/>
        <v>198</v>
      </c>
    </row>
    <row r="56" spans="1:6" ht="15.75" x14ac:dyDescent="0.25">
      <c r="A56" s="4" t="s">
        <v>56</v>
      </c>
      <c r="B56" s="40"/>
      <c r="C56" s="40"/>
      <c r="D56" s="25">
        <v>198</v>
      </c>
      <c r="E56" s="30"/>
      <c r="F56" s="41">
        <f t="shared" si="1"/>
        <v>198</v>
      </c>
    </row>
    <row r="57" spans="1:6" ht="15.75" x14ac:dyDescent="0.25">
      <c r="A57" s="43" t="s">
        <v>57</v>
      </c>
      <c r="B57" s="40"/>
      <c r="C57" s="40"/>
      <c r="D57" s="25">
        <v>198</v>
      </c>
      <c r="E57" s="30"/>
      <c r="F57" s="41">
        <f t="shared" si="1"/>
        <v>198</v>
      </c>
    </row>
    <row r="58" spans="1:6" ht="15.75" x14ac:dyDescent="0.25">
      <c r="A58" s="33" t="s">
        <v>6</v>
      </c>
      <c r="B58" s="34">
        <f>SUM(B50:B57)</f>
        <v>0</v>
      </c>
      <c r="C58" s="34"/>
      <c r="D58" s="35">
        <f>SUM(D50:D57)</f>
        <v>1386</v>
      </c>
      <c r="E58" s="35"/>
      <c r="F58" s="45">
        <f>SUM(F47:F57)</f>
        <v>1386</v>
      </c>
    </row>
    <row r="59" spans="1:6" ht="15.75" x14ac:dyDescent="0.25">
      <c r="A59" s="2" t="s">
        <v>58</v>
      </c>
      <c r="B59" s="3" t="s">
        <v>2</v>
      </c>
      <c r="C59" s="3" t="s">
        <v>3</v>
      </c>
      <c r="D59" s="2" t="s">
        <v>4</v>
      </c>
      <c r="E59" s="2" t="s">
        <v>5</v>
      </c>
      <c r="F59" s="2" t="s">
        <v>6</v>
      </c>
    </row>
    <row r="60" spans="1:6" ht="15.75" x14ac:dyDescent="0.25">
      <c r="A60" s="46" t="s">
        <v>59</v>
      </c>
      <c r="B60" s="47"/>
      <c r="C60" s="47"/>
      <c r="D60" s="6">
        <v>0</v>
      </c>
      <c r="E60" s="6">
        <v>0</v>
      </c>
      <c r="F60" s="48">
        <f>B60+D60+E60</f>
        <v>0</v>
      </c>
    </row>
    <row r="61" spans="1:6" ht="15.75" x14ac:dyDescent="0.25">
      <c r="A61" s="46" t="s">
        <v>60</v>
      </c>
      <c r="B61" s="47"/>
      <c r="C61" s="47"/>
      <c r="D61" s="6">
        <v>198</v>
      </c>
      <c r="E61" s="6">
        <v>0</v>
      </c>
      <c r="F61" s="48">
        <f t="shared" ref="F61:F75" si="2">B61+D61+E61</f>
        <v>198</v>
      </c>
    </row>
    <row r="62" spans="1:6" ht="15.75" x14ac:dyDescent="0.25">
      <c r="A62" s="46" t="s">
        <v>61</v>
      </c>
      <c r="B62" s="47"/>
      <c r="C62" s="47"/>
      <c r="D62" s="6">
        <v>0</v>
      </c>
      <c r="E62" s="6">
        <v>0</v>
      </c>
      <c r="F62" s="48">
        <f t="shared" si="2"/>
        <v>0</v>
      </c>
    </row>
    <row r="63" spans="1:6" ht="15.75" x14ac:dyDescent="0.25">
      <c r="A63" s="46" t="s">
        <v>62</v>
      </c>
      <c r="B63" s="49"/>
      <c r="C63" s="49"/>
      <c r="D63" s="6">
        <v>247.5</v>
      </c>
      <c r="E63" s="6">
        <v>0</v>
      </c>
      <c r="F63" s="48">
        <f t="shared" si="2"/>
        <v>247.5</v>
      </c>
    </row>
    <row r="64" spans="1:6" ht="15.75" x14ac:dyDescent="0.25">
      <c r="A64" s="46" t="s">
        <v>63</v>
      </c>
      <c r="B64" s="49"/>
      <c r="C64" s="49"/>
      <c r="D64" s="6">
        <v>0</v>
      </c>
      <c r="E64" s="6">
        <v>0</v>
      </c>
      <c r="F64" s="48">
        <f t="shared" si="2"/>
        <v>0</v>
      </c>
    </row>
    <row r="65" spans="1:6" ht="15.75" x14ac:dyDescent="0.25">
      <c r="A65" s="46" t="s">
        <v>64</v>
      </c>
      <c r="B65" s="49"/>
      <c r="C65" s="49"/>
      <c r="D65" s="6">
        <v>0</v>
      </c>
      <c r="E65" s="6">
        <v>0</v>
      </c>
      <c r="F65" s="48">
        <f t="shared" si="2"/>
        <v>0</v>
      </c>
    </row>
    <row r="66" spans="1:6" ht="15.75" x14ac:dyDescent="0.25">
      <c r="A66" s="46" t="s">
        <v>65</v>
      </c>
      <c r="B66" s="49"/>
      <c r="C66" s="49"/>
      <c r="D66" s="6">
        <v>0</v>
      </c>
      <c r="E66" s="6">
        <v>0</v>
      </c>
      <c r="F66" s="48">
        <f t="shared" si="2"/>
        <v>0</v>
      </c>
    </row>
    <row r="67" spans="1:6" ht="15.75" x14ac:dyDescent="0.25">
      <c r="A67" s="46" t="s">
        <v>66</v>
      </c>
      <c r="B67" s="49"/>
      <c r="C67" s="49"/>
      <c r="D67" s="6">
        <v>0</v>
      </c>
      <c r="E67" s="6">
        <v>0</v>
      </c>
      <c r="F67" s="48">
        <f t="shared" si="2"/>
        <v>0</v>
      </c>
    </row>
    <row r="68" spans="1:6" ht="15.75" x14ac:dyDescent="0.25">
      <c r="A68" s="46" t="s">
        <v>67</v>
      </c>
      <c r="B68" s="49"/>
      <c r="C68" s="49"/>
      <c r="D68" s="6">
        <v>247.5</v>
      </c>
      <c r="E68" s="6">
        <v>0</v>
      </c>
      <c r="F68" s="48">
        <f t="shared" si="2"/>
        <v>247.5</v>
      </c>
    </row>
    <row r="69" spans="1:6" ht="15.75" x14ac:dyDescent="0.25">
      <c r="A69" s="50" t="s">
        <v>68</v>
      </c>
      <c r="B69" s="51"/>
      <c r="C69" s="51"/>
      <c r="D69" s="6">
        <v>0</v>
      </c>
      <c r="E69" s="6">
        <v>0</v>
      </c>
      <c r="F69" s="48">
        <f t="shared" si="2"/>
        <v>0</v>
      </c>
    </row>
    <row r="70" spans="1:6" ht="15.75" x14ac:dyDescent="0.25">
      <c r="A70" s="46" t="s">
        <v>69</v>
      </c>
      <c r="B70" s="49"/>
      <c r="C70" s="49"/>
      <c r="D70" s="6">
        <v>0</v>
      </c>
      <c r="E70" s="6">
        <v>0</v>
      </c>
      <c r="F70" s="48">
        <f t="shared" si="2"/>
        <v>0</v>
      </c>
    </row>
    <row r="71" spans="1:6" ht="15.75" x14ac:dyDescent="0.25">
      <c r="A71" s="46" t="s">
        <v>70</v>
      </c>
      <c r="B71" s="49"/>
      <c r="C71" s="49"/>
      <c r="D71" s="6">
        <v>247.5</v>
      </c>
      <c r="E71" s="6">
        <v>0</v>
      </c>
      <c r="F71" s="48">
        <f t="shared" si="2"/>
        <v>247.5</v>
      </c>
    </row>
    <row r="72" spans="1:6" ht="15.75" x14ac:dyDescent="0.25">
      <c r="A72" s="46" t="s">
        <v>71</v>
      </c>
      <c r="B72" s="52"/>
      <c r="C72" s="52"/>
      <c r="D72" s="6">
        <v>0</v>
      </c>
      <c r="E72" s="6">
        <v>0</v>
      </c>
      <c r="F72" s="48">
        <f t="shared" si="2"/>
        <v>0</v>
      </c>
    </row>
    <row r="73" spans="1:6" ht="15.75" x14ac:dyDescent="0.25">
      <c r="A73" s="46" t="s">
        <v>72</v>
      </c>
      <c r="B73" s="49"/>
      <c r="C73" s="49"/>
      <c r="D73" s="6">
        <v>247.5</v>
      </c>
      <c r="E73" s="6">
        <v>0</v>
      </c>
      <c r="F73" s="48">
        <f t="shared" si="2"/>
        <v>247.5</v>
      </c>
    </row>
    <row r="74" spans="1:6" ht="15.75" x14ac:dyDescent="0.25">
      <c r="A74" s="46" t="s">
        <v>73</v>
      </c>
      <c r="B74" s="49"/>
      <c r="C74" s="49"/>
      <c r="D74" s="6">
        <v>0</v>
      </c>
      <c r="E74" s="6">
        <v>0</v>
      </c>
      <c r="F74" s="48">
        <f t="shared" si="2"/>
        <v>0</v>
      </c>
    </row>
    <row r="75" spans="1:6" ht="15.75" x14ac:dyDescent="0.25">
      <c r="A75" s="46" t="s">
        <v>74</v>
      </c>
      <c r="B75" s="49"/>
      <c r="C75" s="49"/>
      <c r="D75" s="6">
        <v>247.5</v>
      </c>
      <c r="E75" s="6">
        <v>0</v>
      </c>
      <c r="F75" s="48">
        <f t="shared" si="2"/>
        <v>247.5</v>
      </c>
    </row>
    <row r="76" spans="1:6" ht="15.75" x14ac:dyDescent="0.25">
      <c r="A76" s="33" t="s">
        <v>6</v>
      </c>
      <c r="B76" s="34">
        <f>SUM(B60:B74)</f>
        <v>0</v>
      </c>
      <c r="C76" s="34"/>
      <c r="D76" s="35">
        <f>SUM(D63:D74)</f>
        <v>990</v>
      </c>
      <c r="E76" s="35">
        <f>SUM(E60:E74)</f>
        <v>0</v>
      </c>
      <c r="F76" s="45">
        <f>SUM(F60:F75)</f>
        <v>1435.5</v>
      </c>
    </row>
    <row r="77" spans="1:6" ht="15.75" x14ac:dyDescent="0.25">
      <c r="A77" s="53" t="s">
        <v>75</v>
      </c>
      <c r="B77" s="3" t="s">
        <v>2</v>
      </c>
      <c r="C77" s="3" t="s">
        <v>3</v>
      </c>
      <c r="D77" s="2" t="s">
        <v>4</v>
      </c>
      <c r="E77" s="2" t="s">
        <v>5</v>
      </c>
      <c r="F77" s="2" t="s">
        <v>6</v>
      </c>
    </row>
    <row r="78" spans="1:6" ht="15.75" x14ac:dyDescent="0.25">
      <c r="A78" s="46" t="s">
        <v>76</v>
      </c>
      <c r="B78" s="6">
        <v>0</v>
      </c>
      <c r="C78" s="6"/>
      <c r="D78" s="6">
        <v>0</v>
      </c>
      <c r="E78" s="54">
        <v>300</v>
      </c>
      <c r="F78" s="6">
        <f>B78+D78+E78</f>
        <v>300</v>
      </c>
    </row>
    <row r="79" spans="1:6" ht="15.75" x14ac:dyDescent="0.25">
      <c r="A79" s="46" t="s">
        <v>77</v>
      </c>
      <c r="B79" s="6">
        <v>0</v>
      </c>
      <c r="C79" s="6"/>
      <c r="D79" s="6">
        <v>0</v>
      </c>
      <c r="E79" s="54">
        <v>400</v>
      </c>
      <c r="F79" s="6">
        <f>B79+D79+E79</f>
        <v>400</v>
      </c>
    </row>
    <row r="80" spans="1:6" ht="15.75" x14ac:dyDescent="0.25">
      <c r="A80" s="33" t="s">
        <v>6</v>
      </c>
      <c r="B80" s="34"/>
      <c r="C80" s="34"/>
      <c r="D80" s="35"/>
      <c r="E80" s="35">
        <f>SUM(E64:E79)</f>
        <v>700</v>
      </c>
      <c r="F80" s="45">
        <f>SUM(F78:F79)</f>
        <v>700</v>
      </c>
    </row>
    <row r="81" spans="1:9" x14ac:dyDescent="0.25">
      <c r="A81" s="30" t="s">
        <v>78</v>
      </c>
      <c r="B81" s="55" t="e">
        <f>F75+F73+F71+F68+F63+F61+F57+F54+F52+F51+F50+F42+F41+F40+F39+F38+F37+F36+F35+F34+F32+F33+F30+F26+F25+F22+F19+F18+F17+F16+F14+F13+F12+F11+F6+F5+F4+F3</f>
        <v>#VALUE!</v>
      </c>
      <c r="C81" s="56"/>
      <c r="H81" s="57"/>
      <c r="I81" s="57"/>
    </row>
    <row r="82" spans="1:9" x14ac:dyDescent="0.25">
      <c r="A82" s="30" t="s">
        <v>79</v>
      </c>
      <c r="B82" s="58">
        <f>E79+E78+E31+E28+E23+E15+E10+E9+E8</f>
        <v>3263.6</v>
      </c>
      <c r="C82" s="57"/>
    </row>
    <row r="83" spans="1:9" x14ac:dyDescent="0.25">
      <c r="A83" s="30" t="s">
        <v>80</v>
      </c>
      <c r="B83" s="58">
        <f>F21</f>
        <v>398</v>
      </c>
      <c r="C83" s="57"/>
      <c r="E83" s="56"/>
    </row>
    <row r="84" spans="1:9" x14ac:dyDescent="0.25">
      <c r="A84" s="30" t="s">
        <v>81</v>
      </c>
      <c r="B84" s="58" t="e">
        <f>SUM(B81:B83)</f>
        <v>#VALUE!</v>
      </c>
      <c r="C84" s="57"/>
    </row>
    <row r="85" spans="1:9" x14ac:dyDescent="0.25">
      <c r="A85" s="30"/>
      <c r="B85" s="30"/>
      <c r="E85" s="56"/>
      <c r="F85" s="57"/>
    </row>
    <row r="88" spans="1:9" x14ac:dyDescent="0.25">
      <c r="D88" s="57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</dc:creator>
  <cp:lastModifiedBy>João Victor</cp:lastModifiedBy>
  <dcterms:created xsi:type="dcterms:W3CDTF">2026-08-21T19:22:46Z</dcterms:created>
  <dcterms:modified xsi:type="dcterms:W3CDTF">2026-08-21T19:23:48Z</dcterms:modified>
</cp:coreProperties>
</file>